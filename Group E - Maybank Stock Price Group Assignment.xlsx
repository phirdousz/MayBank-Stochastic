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esktop\"/>
    </mc:Choice>
  </mc:AlternateContent>
  <xr:revisionPtr revIDLastSave="0" documentId="8_{3D13A8E0-4C35-43DF-A07E-39C10B0D2400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Price Volume" sheetId="4" r:id="rId1"/>
    <sheet name="Malayan Banking Stock Price His" sheetId="1" r:id="rId2"/>
    <sheet name="In-Sample" sheetId="2" r:id="rId3"/>
    <sheet name="Out Sample Forecast Summary" sheetId="11" r:id="rId4"/>
    <sheet name="Out Sample Forecast" sheetId="5" r:id="rId5"/>
    <sheet name="Out Sample Forecast (Dividend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G23" i="6" l="1"/>
  <c r="SF23" i="6"/>
  <c r="SE23" i="6"/>
  <c r="SD23" i="6"/>
  <c r="SC23" i="6"/>
  <c r="SB23" i="6"/>
  <c r="SA23" i="6"/>
  <c r="RZ23" i="6"/>
  <c r="RY23" i="6"/>
  <c r="RX23" i="6"/>
  <c r="RW23" i="6"/>
  <c r="RV23" i="6"/>
  <c r="RU23" i="6"/>
  <c r="RT23" i="6"/>
  <c r="RS23" i="6"/>
  <c r="RR23" i="6"/>
  <c r="RQ23" i="6"/>
  <c r="RP23" i="6"/>
  <c r="RO23" i="6"/>
  <c r="RN23" i="6"/>
  <c r="RM23" i="6"/>
  <c r="RL23" i="6"/>
  <c r="RK23" i="6"/>
  <c r="RJ23" i="6"/>
  <c r="RI23" i="6"/>
  <c r="RH23" i="6"/>
  <c r="RG23" i="6"/>
  <c r="RF23" i="6"/>
  <c r="RE23" i="6"/>
  <c r="RD23" i="6"/>
  <c r="RC23" i="6"/>
  <c r="RB23" i="6"/>
  <c r="RA23" i="6"/>
  <c r="QZ23" i="6"/>
  <c r="QY23" i="6"/>
  <c r="QX23" i="6"/>
  <c r="QW23" i="6"/>
  <c r="QV23" i="6"/>
  <c r="QU23" i="6"/>
  <c r="QT23" i="6"/>
  <c r="QS23" i="6"/>
  <c r="QR23" i="6"/>
  <c r="QQ23" i="6"/>
  <c r="QP23" i="6"/>
  <c r="QO23" i="6"/>
  <c r="QN23" i="6"/>
  <c r="QM23" i="6"/>
  <c r="QL23" i="6"/>
  <c r="QK23" i="6"/>
  <c r="QJ23" i="6"/>
  <c r="QI23" i="6"/>
  <c r="QH23" i="6"/>
  <c r="QG23" i="6"/>
  <c r="QF23" i="6"/>
  <c r="QE23" i="6"/>
  <c r="QD23" i="6"/>
  <c r="QC23" i="6"/>
  <c r="QB23" i="6"/>
  <c r="QA23" i="6"/>
  <c r="PZ23" i="6"/>
  <c r="PY23" i="6"/>
  <c r="PX23" i="6"/>
  <c r="PW23" i="6"/>
  <c r="PV23" i="6"/>
  <c r="PU23" i="6"/>
  <c r="PT23" i="6"/>
  <c r="PS23" i="6"/>
  <c r="PR23" i="6"/>
  <c r="PQ23" i="6"/>
  <c r="PP23" i="6"/>
  <c r="PO23" i="6"/>
  <c r="PN23" i="6"/>
  <c r="PM23" i="6"/>
  <c r="PL23" i="6"/>
  <c r="PK23" i="6"/>
  <c r="PJ23" i="6"/>
  <c r="PI23" i="6"/>
  <c r="PH23" i="6"/>
  <c r="PG23" i="6"/>
  <c r="PF23" i="6"/>
  <c r="PE23" i="6"/>
  <c r="PD23" i="6"/>
  <c r="PC23" i="6"/>
  <c r="PB23" i="6"/>
  <c r="PA23" i="6"/>
  <c r="OZ23" i="6"/>
  <c r="OY23" i="6"/>
  <c r="OX23" i="6"/>
  <c r="OW23" i="6"/>
  <c r="OV23" i="6"/>
  <c r="OU23" i="6"/>
  <c r="OT23" i="6"/>
  <c r="OS23" i="6"/>
  <c r="OR23" i="6"/>
  <c r="OQ23" i="6"/>
  <c r="OP23" i="6"/>
  <c r="OO23" i="6"/>
  <c r="ON23" i="6"/>
  <c r="OM23" i="6"/>
  <c r="OL23" i="6"/>
  <c r="OK23" i="6"/>
  <c r="OJ23" i="6"/>
  <c r="OI23" i="6"/>
  <c r="OH23" i="6"/>
  <c r="OG23" i="6"/>
  <c r="OF23" i="6"/>
  <c r="OE23" i="6"/>
  <c r="OD23" i="6"/>
  <c r="OC23" i="6"/>
  <c r="OB23" i="6"/>
  <c r="OA23" i="6"/>
  <c r="NZ23" i="6"/>
  <c r="NY23" i="6"/>
  <c r="NX23" i="6"/>
  <c r="NW23" i="6"/>
  <c r="NV23" i="6"/>
  <c r="NU23" i="6"/>
  <c r="NT23" i="6"/>
  <c r="NS23" i="6"/>
  <c r="NR23" i="6"/>
  <c r="NQ23" i="6"/>
  <c r="NP23" i="6"/>
  <c r="NO23" i="6"/>
  <c r="NN23" i="6"/>
  <c r="NM23" i="6"/>
  <c r="NL23" i="6"/>
  <c r="NK23" i="6"/>
  <c r="NJ23" i="6"/>
  <c r="NI23" i="6"/>
  <c r="NH23" i="6"/>
  <c r="NG23" i="6"/>
  <c r="NF23" i="6"/>
  <c r="NE23" i="6"/>
  <c r="ND23" i="6"/>
  <c r="NC23" i="6"/>
  <c r="NB23" i="6"/>
  <c r="NA23" i="6"/>
  <c r="MZ23" i="6"/>
  <c r="MY23" i="6"/>
  <c r="MX23" i="6"/>
  <c r="MW23" i="6"/>
  <c r="MV23" i="6"/>
  <c r="MU23" i="6"/>
  <c r="MT23" i="6"/>
  <c r="MS23" i="6"/>
  <c r="MR23" i="6"/>
  <c r="MQ23" i="6"/>
  <c r="MP23" i="6"/>
  <c r="MO23" i="6"/>
  <c r="MN23" i="6"/>
  <c r="MM23" i="6"/>
  <c r="ML23" i="6"/>
  <c r="MK23" i="6"/>
  <c r="MJ23" i="6"/>
  <c r="MI23" i="6"/>
  <c r="MH23" i="6"/>
  <c r="MG23" i="6"/>
  <c r="MF23" i="6"/>
  <c r="ME23" i="6"/>
  <c r="MD23" i="6"/>
  <c r="MC23" i="6"/>
  <c r="MB23" i="6"/>
  <c r="MA23" i="6"/>
  <c r="LZ23" i="6"/>
  <c r="LY23" i="6"/>
  <c r="LX23" i="6"/>
  <c r="LW23" i="6"/>
  <c r="LV23" i="6"/>
  <c r="LU23" i="6"/>
  <c r="LT23" i="6"/>
  <c r="LS23" i="6"/>
  <c r="LR23" i="6"/>
  <c r="LQ23" i="6"/>
  <c r="LP23" i="6"/>
  <c r="LO23" i="6"/>
  <c r="LN23" i="6"/>
  <c r="LM23" i="6"/>
  <c r="LL23" i="6"/>
  <c r="LK23" i="6"/>
  <c r="LJ23" i="6"/>
  <c r="LI23" i="6"/>
  <c r="LH23" i="6"/>
  <c r="LG23" i="6"/>
  <c r="LF23" i="6"/>
  <c r="LE23" i="6"/>
  <c r="LD23" i="6"/>
  <c r="LC23" i="6"/>
  <c r="LB23" i="6"/>
  <c r="LA23" i="6"/>
  <c r="KZ23" i="6"/>
  <c r="KY23" i="6"/>
  <c r="KX23" i="6"/>
  <c r="KW23" i="6"/>
  <c r="KV23" i="6"/>
  <c r="KU23" i="6"/>
  <c r="KT23" i="6"/>
  <c r="KS23" i="6"/>
  <c r="KR23" i="6"/>
  <c r="KQ23" i="6"/>
  <c r="KP23" i="6"/>
  <c r="KO23" i="6"/>
  <c r="KN23" i="6"/>
  <c r="KM23" i="6"/>
  <c r="KL23" i="6"/>
  <c r="KK23" i="6"/>
  <c r="KJ23" i="6"/>
  <c r="KI23" i="6"/>
  <c r="KH23" i="6"/>
  <c r="KG23" i="6"/>
  <c r="KF23" i="6"/>
  <c r="KE23" i="6"/>
  <c r="KD23" i="6"/>
  <c r="KC23" i="6"/>
  <c r="KB23" i="6"/>
  <c r="KA23" i="6"/>
  <c r="JZ23" i="6"/>
  <c r="JY23" i="6"/>
  <c r="JX23" i="6"/>
  <c r="JW23" i="6"/>
  <c r="JV23" i="6"/>
  <c r="JU23" i="6"/>
  <c r="JT23" i="6"/>
  <c r="JS23" i="6"/>
  <c r="JR23" i="6"/>
  <c r="JQ23" i="6"/>
  <c r="JP23" i="6"/>
  <c r="JO23" i="6"/>
  <c r="JN23" i="6"/>
  <c r="JM23" i="6"/>
  <c r="JL23" i="6"/>
  <c r="JK23" i="6"/>
  <c r="JJ23" i="6"/>
  <c r="JI23" i="6"/>
  <c r="JH23" i="6"/>
  <c r="JG23" i="6"/>
  <c r="JF23" i="6"/>
  <c r="JE23" i="6"/>
  <c r="JD23" i="6"/>
  <c r="JC23" i="6"/>
  <c r="JB23" i="6"/>
  <c r="JA23" i="6"/>
  <c r="IZ23" i="6"/>
  <c r="IY23" i="6"/>
  <c r="IX23" i="6"/>
  <c r="IW23" i="6"/>
  <c r="IV23" i="6"/>
  <c r="IU23" i="6"/>
  <c r="IT23" i="6"/>
  <c r="IS23" i="6"/>
  <c r="IR23" i="6"/>
  <c r="IQ23" i="6"/>
  <c r="IP23" i="6"/>
  <c r="IO23" i="6"/>
  <c r="IN23" i="6"/>
  <c r="IM23" i="6"/>
  <c r="IL23" i="6"/>
  <c r="IK23" i="6"/>
  <c r="IJ23" i="6"/>
  <c r="II23" i="6"/>
  <c r="IH23" i="6"/>
  <c r="IG23" i="6"/>
  <c r="IF23" i="6"/>
  <c r="IE23" i="6"/>
  <c r="ID23" i="6"/>
  <c r="IC23" i="6"/>
  <c r="IB23" i="6"/>
  <c r="IA23" i="6"/>
  <c r="HZ23" i="6"/>
  <c r="HY23" i="6"/>
  <c r="HX23" i="6"/>
  <c r="HW23" i="6"/>
  <c r="HV23" i="6"/>
  <c r="HU23" i="6"/>
  <c r="HT23" i="6"/>
  <c r="HS23" i="6"/>
  <c r="HR23" i="6"/>
  <c r="HQ23" i="6"/>
  <c r="HP23" i="6"/>
  <c r="HO23" i="6"/>
  <c r="HN23" i="6"/>
  <c r="HM23" i="6"/>
  <c r="HL23" i="6"/>
  <c r="HK23" i="6"/>
  <c r="HJ23" i="6"/>
  <c r="HI23" i="6"/>
  <c r="HH23" i="6"/>
  <c r="HG23" i="6"/>
  <c r="HF23" i="6"/>
  <c r="HE23" i="6"/>
  <c r="HD23" i="6"/>
  <c r="HC23" i="6"/>
  <c r="HB23" i="6"/>
  <c r="HA23" i="6"/>
  <c r="GZ23" i="6"/>
  <c r="GY23" i="6"/>
  <c r="GX23" i="6"/>
  <c r="GW23" i="6"/>
  <c r="GV23" i="6"/>
  <c r="GU23" i="6"/>
  <c r="GT23" i="6"/>
  <c r="GS23" i="6"/>
  <c r="GR23" i="6"/>
  <c r="GQ23" i="6"/>
  <c r="GP23" i="6"/>
  <c r="GO23" i="6"/>
  <c r="GN23" i="6"/>
  <c r="GM23" i="6"/>
  <c r="GL23" i="6"/>
  <c r="GK23" i="6"/>
  <c r="GJ23" i="6"/>
  <c r="GI23" i="6"/>
  <c r="GH23" i="6"/>
  <c r="GG23" i="6"/>
  <c r="GF23" i="6"/>
  <c r="GE23" i="6"/>
  <c r="GD23" i="6"/>
  <c r="GC23" i="6"/>
  <c r="GB23" i="6"/>
  <c r="GA23" i="6"/>
  <c r="FZ23" i="6"/>
  <c r="FY23" i="6"/>
  <c r="FX23" i="6"/>
  <c r="FW23" i="6"/>
  <c r="FV23" i="6"/>
  <c r="FU23" i="6"/>
  <c r="FT23" i="6"/>
  <c r="FS23" i="6"/>
  <c r="FR23" i="6"/>
  <c r="FQ23" i="6"/>
  <c r="FP23" i="6"/>
  <c r="FO23" i="6"/>
  <c r="FN23" i="6"/>
  <c r="FM23" i="6"/>
  <c r="FL23" i="6"/>
  <c r="FK23" i="6"/>
  <c r="FJ23" i="6"/>
  <c r="FI23" i="6"/>
  <c r="FH23" i="6"/>
  <c r="FG23" i="6"/>
  <c r="FF23" i="6"/>
  <c r="FE23" i="6"/>
  <c r="FD23" i="6"/>
  <c r="FC23" i="6"/>
  <c r="FB23" i="6"/>
  <c r="FA23" i="6"/>
  <c r="EZ23" i="6"/>
  <c r="EY23" i="6"/>
  <c r="EX23" i="6"/>
  <c r="EW23" i="6"/>
  <c r="EV23" i="6"/>
  <c r="EU23" i="6"/>
  <c r="ET23" i="6"/>
  <c r="ES23" i="6"/>
  <c r="ER23" i="6"/>
  <c r="EQ23" i="6"/>
  <c r="EP23" i="6"/>
  <c r="EO23" i="6"/>
  <c r="EN23" i="6"/>
  <c r="EM23" i="6"/>
  <c r="EL23" i="6"/>
  <c r="EK23" i="6"/>
  <c r="EJ23" i="6"/>
  <c r="EI23" i="6"/>
  <c r="EH23" i="6"/>
  <c r="EG23" i="6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SG22" i="6"/>
  <c r="SF22" i="6"/>
  <c r="SE22" i="6"/>
  <c r="SD22" i="6"/>
  <c r="SC22" i="6"/>
  <c r="SB22" i="6"/>
  <c r="SA22" i="6"/>
  <c r="RZ22" i="6"/>
  <c r="RY22" i="6"/>
  <c r="RX22" i="6"/>
  <c r="RW22" i="6"/>
  <c r="RV22" i="6"/>
  <c r="RU22" i="6"/>
  <c r="RT22" i="6"/>
  <c r="RS22" i="6"/>
  <c r="RR22" i="6"/>
  <c r="RQ22" i="6"/>
  <c r="RP22" i="6"/>
  <c r="RO22" i="6"/>
  <c r="RN22" i="6"/>
  <c r="RM22" i="6"/>
  <c r="RL22" i="6"/>
  <c r="RK22" i="6"/>
  <c r="RJ22" i="6"/>
  <c r="RI22" i="6"/>
  <c r="RH22" i="6"/>
  <c r="RG22" i="6"/>
  <c r="RF22" i="6"/>
  <c r="RE22" i="6"/>
  <c r="RD22" i="6"/>
  <c r="RC22" i="6"/>
  <c r="RB22" i="6"/>
  <c r="RA22" i="6"/>
  <c r="QZ22" i="6"/>
  <c r="QY22" i="6"/>
  <c r="QX22" i="6"/>
  <c r="QW22" i="6"/>
  <c r="QV22" i="6"/>
  <c r="QU22" i="6"/>
  <c r="QT22" i="6"/>
  <c r="QS22" i="6"/>
  <c r="QR22" i="6"/>
  <c r="QQ22" i="6"/>
  <c r="QP22" i="6"/>
  <c r="QO22" i="6"/>
  <c r="QN22" i="6"/>
  <c r="QM22" i="6"/>
  <c r="QL22" i="6"/>
  <c r="QK22" i="6"/>
  <c r="QJ22" i="6"/>
  <c r="QI22" i="6"/>
  <c r="QH22" i="6"/>
  <c r="QG22" i="6"/>
  <c r="QF22" i="6"/>
  <c r="QE22" i="6"/>
  <c r="QD22" i="6"/>
  <c r="QC22" i="6"/>
  <c r="QB22" i="6"/>
  <c r="QA22" i="6"/>
  <c r="PZ22" i="6"/>
  <c r="PY22" i="6"/>
  <c r="PX22" i="6"/>
  <c r="PW22" i="6"/>
  <c r="PV22" i="6"/>
  <c r="PU22" i="6"/>
  <c r="PT22" i="6"/>
  <c r="PS22" i="6"/>
  <c r="PR22" i="6"/>
  <c r="PQ22" i="6"/>
  <c r="PP22" i="6"/>
  <c r="PO22" i="6"/>
  <c r="PN22" i="6"/>
  <c r="PM22" i="6"/>
  <c r="PL22" i="6"/>
  <c r="PK22" i="6"/>
  <c r="PJ22" i="6"/>
  <c r="PI22" i="6"/>
  <c r="PH22" i="6"/>
  <c r="PG22" i="6"/>
  <c r="PF22" i="6"/>
  <c r="PE22" i="6"/>
  <c r="PD22" i="6"/>
  <c r="PC22" i="6"/>
  <c r="PB22" i="6"/>
  <c r="PA22" i="6"/>
  <c r="OZ22" i="6"/>
  <c r="OY22" i="6"/>
  <c r="OX22" i="6"/>
  <c r="OW22" i="6"/>
  <c r="OV22" i="6"/>
  <c r="OU22" i="6"/>
  <c r="OT22" i="6"/>
  <c r="OS22" i="6"/>
  <c r="OR22" i="6"/>
  <c r="OQ22" i="6"/>
  <c r="OP22" i="6"/>
  <c r="OO22" i="6"/>
  <c r="ON22" i="6"/>
  <c r="OM22" i="6"/>
  <c r="OL22" i="6"/>
  <c r="OK22" i="6"/>
  <c r="OJ22" i="6"/>
  <c r="OI22" i="6"/>
  <c r="OH22" i="6"/>
  <c r="OG22" i="6"/>
  <c r="OF22" i="6"/>
  <c r="OE22" i="6"/>
  <c r="OD22" i="6"/>
  <c r="OC22" i="6"/>
  <c r="OB22" i="6"/>
  <c r="OA22" i="6"/>
  <c r="NZ22" i="6"/>
  <c r="NY22" i="6"/>
  <c r="NX22" i="6"/>
  <c r="NW22" i="6"/>
  <c r="NV22" i="6"/>
  <c r="NU22" i="6"/>
  <c r="NT22" i="6"/>
  <c r="NS22" i="6"/>
  <c r="NR22" i="6"/>
  <c r="NQ22" i="6"/>
  <c r="NP22" i="6"/>
  <c r="NO22" i="6"/>
  <c r="NN22" i="6"/>
  <c r="NM22" i="6"/>
  <c r="NL22" i="6"/>
  <c r="NK22" i="6"/>
  <c r="NJ22" i="6"/>
  <c r="NI22" i="6"/>
  <c r="NH22" i="6"/>
  <c r="NG22" i="6"/>
  <c r="NF22" i="6"/>
  <c r="NE22" i="6"/>
  <c r="ND22" i="6"/>
  <c r="NC22" i="6"/>
  <c r="NB22" i="6"/>
  <c r="NA22" i="6"/>
  <c r="MZ22" i="6"/>
  <c r="MY22" i="6"/>
  <c r="MX22" i="6"/>
  <c r="MW22" i="6"/>
  <c r="MV22" i="6"/>
  <c r="MU22" i="6"/>
  <c r="MT22" i="6"/>
  <c r="MS22" i="6"/>
  <c r="MR22" i="6"/>
  <c r="MQ22" i="6"/>
  <c r="MP22" i="6"/>
  <c r="MO22" i="6"/>
  <c r="MN22" i="6"/>
  <c r="MM22" i="6"/>
  <c r="ML22" i="6"/>
  <c r="MK22" i="6"/>
  <c r="MJ22" i="6"/>
  <c r="MI22" i="6"/>
  <c r="MH22" i="6"/>
  <c r="MG22" i="6"/>
  <c r="MF22" i="6"/>
  <c r="ME22" i="6"/>
  <c r="MD22" i="6"/>
  <c r="MC22" i="6"/>
  <c r="MB22" i="6"/>
  <c r="MA22" i="6"/>
  <c r="LZ22" i="6"/>
  <c r="LY22" i="6"/>
  <c r="LX22" i="6"/>
  <c r="LW22" i="6"/>
  <c r="LV22" i="6"/>
  <c r="LU22" i="6"/>
  <c r="LT22" i="6"/>
  <c r="LS22" i="6"/>
  <c r="LR22" i="6"/>
  <c r="LQ22" i="6"/>
  <c r="LP22" i="6"/>
  <c r="LO22" i="6"/>
  <c r="LN22" i="6"/>
  <c r="LM22" i="6"/>
  <c r="LL22" i="6"/>
  <c r="LK22" i="6"/>
  <c r="LJ22" i="6"/>
  <c r="LI22" i="6"/>
  <c r="LH22" i="6"/>
  <c r="LG22" i="6"/>
  <c r="LF22" i="6"/>
  <c r="LE22" i="6"/>
  <c r="LD22" i="6"/>
  <c r="LC22" i="6"/>
  <c r="LB22" i="6"/>
  <c r="LA22" i="6"/>
  <c r="KZ22" i="6"/>
  <c r="KY22" i="6"/>
  <c r="KX22" i="6"/>
  <c r="KW22" i="6"/>
  <c r="KV22" i="6"/>
  <c r="KU22" i="6"/>
  <c r="KT22" i="6"/>
  <c r="KS22" i="6"/>
  <c r="KR22" i="6"/>
  <c r="KQ22" i="6"/>
  <c r="KP22" i="6"/>
  <c r="KO22" i="6"/>
  <c r="KN22" i="6"/>
  <c r="KM22" i="6"/>
  <c r="KL22" i="6"/>
  <c r="KK22" i="6"/>
  <c r="KJ22" i="6"/>
  <c r="KI22" i="6"/>
  <c r="KH22" i="6"/>
  <c r="KG22" i="6"/>
  <c r="KF22" i="6"/>
  <c r="KE22" i="6"/>
  <c r="KD22" i="6"/>
  <c r="KC22" i="6"/>
  <c r="KB22" i="6"/>
  <c r="KA22" i="6"/>
  <c r="JZ22" i="6"/>
  <c r="JY22" i="6"/>
  <c r="JX22" i="6"/>
  <c r="JW22" i="6"/>
  <c r="JV22" i="6"/>
  <c r="JU22" i="6"/>
  <c r="JT22" i="6"/>
  <c r="JS22" i="6"/>
  <c r="JR22" i="6"/>
  <c r="JQ22" i="6"/>
  <c r="JP22" i="6"/>
  <c r="JO22" i="6"/>
  <c r="JN22" i="6"/>
  <c r="JM22" i="6"/>
  <c r="JL22" i="6"/>
  <c r="JK22" i="6"/>
  <c r="JJ22" i="6"/>
  <c r="JI22" i="6"/>
  <c r="JH22" i="6"/>
  <c r="JG22" i="6"/>
  <c r="JF22" i="6"/>
  <c r="JE22" i="6"/>
  <c r="JD22" i="6"/>
  <c r="JC22" i="6"/>
  <c r="JB22" i="6"/>
  <c r="JA22" i="6"/>
  <c r="IZ22" i="6"/>
  <c r="IY22" i="6"/>
  <c r="IX22" i="6"/>
  <c r="IW22" i="6"/>
  <c r="IV22" i="6"/>
  <c r="IU22" i="6"/>
  <c r="IT22" i="6"/>
  <c r="IS22" i="6"/>
  <c r="IR22" i="6"/>
  <c r="IQ22" i="6"/>
  <c r="IP22" i="6"/>
  <c r="IO22" i="6"/>
  <c r="IN22" i="6"/>
  <c r="IM22" i="6"/>
  <c r="IL22" i="6"/>
  <c r="IK22" i="6"/>
  <c r="IJ22" i="6"/>
  <c r="II22" i="6"/>
  <c r="IH22" i="6"/>
  <c r="IG22" i="6"/>
  <c r="IF22" i="6"/>
  <c r="IE22" i="6"/>
  <c r="ID22" i="6"/>
  <c r="IC22" i="6"/>
  <c r="IB22" i="6"/>
  <c r="IA22" i="6"/>
  <c r="HZ22" i="6"/>
  <c r="HY22" i="6"/>
  <c r="HX22" i="6"/>
  <c r="HW22" i="6"/>
  <c r="HV22" i="6"/>
  <c r="HU22" i="6"/>
  <c r="HT22" i="6"/>
  <c r="HS22" i="6"/>
  <c r="HR22" i="6"/>
  <c r="HQ22" i="6"/>
  <c r="HP22" i="6"/>
  <c r="HO22" i="6"/>
  <c r="HN22" i="6"/>
  <c r="HM22" i="6"/>
  <c r="HL22" i="6"/>
  <c r="HK22" i="6"/>
  <c r="HJ22" i="6"/>
  <c r="HI22" i="6"/>
  <c r="HH22" i="6"/>
  <c r="HG22" i="6"/>
  <c r="HF22" i="6"/>
  <c r="HE22" i="6"/>
  <c r="HD22" i="6"/>
  <c r="HC22" i="6"/>
  <c r="HB22" i="6"/>
  <c r="HA22" i="6"/>
  <c r="GZ22" i="6"/>
  <c r="GY22" i="6"/>
  <c r="GX22" i="6"/>
  <c r="GW22" i="6"/>
  <c r="GV22" i="6"/>
  <c r="GU22" i="6"/>
  <c r="GT22" i="6"/>
  <c r="GS22" i="6"/>
  <c r="GR22" i="6"/>
  <c r="GQ22" i="6"/>
  <c r="GP22" i="6"/>
  <c r="GO22" i="6"/>
  <c r="GN22" i="6"/>
  <c r="GM22" i="6"/>
  <c r="GL22" i="6"/>
  <c r="GK22" i="6"/>
  <c r="GJ22" i="6"/>
  <c r="GI22" i="6"/>
  <c r="GH22" i="6"/>
  <c r="GG22" i="6"/>
  <c r="GF22" i="6"/>
  <c r="GE22" i="6"/>
  <c r="GD22" i="6"/>
  <c r="GC22" i="6"/>
  <c r="GB22" i="6"/>
  <c r="GA22" i="6"/>
  <c r="FZ22" i="6"/>
  <c r="FY22" i="6"/>
  <c r="FX22" i="6"/>
  <c r="FW22" i="6"/>
  <c r="FV22" i="6"/>
  <c r="FU22" i="6"/>
  <c r="FT22" i="6"/>
  <c r="FS22" i="6"/>
  <c r="FR22" i="6"/>
  <c r="FQ22" i="6"/>
  <c r="FP22" i="6"/>
  <c r="FO22" i="6"/>
  <c r="FN22" i="6"/>
  <c r="FM22" i="6"/>
  <c r="FL22" i="6"/>
  <c r="FK22" i="6"/>
  <c r="FJ22" i="6"/>
  <c r="FI22" i="6"/>
  <c r="FH22" i="6"/>
  <c r="FG22" i="6"/>
  <c r="FF22" i="6"/>
  <c r="FE22" i="6"/>
  <c r="FD22" i="6"/>
  <c r="FC22" i="6"/>
  <c r="FB22" i="6"/>
  <c r="FA22" i="6"/>
  <c r="EZ22" i="6"/>
  <c r="EY22" i="6"/>
  <c r="EX22" i="6"/>
  <c r="EW22" i="6"/>
  <c r="EV22" i="6"/>
  <c r="EU22" i="6"/>
  <c r="ET22" i="6"/>
  <c r="ES22" i="6"/>
  <c r="ER22" i="6"/>
  <c r="EQ22" i="6"/>
  <c r="EP22" i="6"/>
  <c r="EO22" i="6"/>
  <c r="EN22" i="6"/>
  <c r="EM22" i="6"/>
  <c r="EL22" i="6"/>
  <c r="EK22" i="6"/>
  <c r="EJ22" i="6"/>
  <c r="EI22" i="6"/>
  <c r="EH22" i="6"/>
  <c r="EG22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SG21" i="6"/>
  <c r="SF21" i="6"/>
  <c r="SE21" i="6"/>
  <c r="SD21" i="6"/>
  <c r="SC21" i="6"/>
  <c r="SB21" i="6"/>
  <c r="SA21" i="6"/>
  <c r="RZ21" i="6"/>
  <c r="RY21" i="6"/>
  <c r="RX21" i="6"/>
  <c r="RW21" i="6"/>
  <c r="RV21" i="6"/>
  <c r="RU21" i="6"/>
  <c r="RT21" i="6"/>
  <c r="RS21" i="6"/>
  <c r="RR21" i="6"/>
  <c r="RQ21" i="6"/>
  <c r="RP21" i="6"/>
  <c r="RO21" i="6"/>
  <c r="RN21" i="6"/>
  <c r="RM21" i="6"/>
  <c r="RL21" i="6"/>
  <c r="RK21" i="6"/>
  <c r="RJ21" i="6"/>
  <c r="RI21" i="6"/>
  <c r="RH21" i="6"/>
  <c r="RG21" i="6"/>
  <c r="RF21" i="6"/>
  <c r="RE21" i="6"/>
  <c r="RD21" i="6"/>
  <c r="RC21" i="6"/>
  <c r="RB21" i="6"/>
  <c r="RA21" i="6"/>
  <c r="QZ21" i="6"/>
  <c r="QY21" i="6"/>
  <c r="QX21" i="6"/>
  <c r="QW21" i="6"/>
  <c r="QV21" i="6"/>
  <c r="QU21" i="6"/>
  <c r="QT21" i="6"/>
  <c r="QS21" i="6"/>
  <c r="QR21" i="6"/>
  <c r="QQ21" i="6"/>
  <c r="QP21" i="6"/>
  <c r="QO21" i="6"/>
  <c r="QN21" i="6"/>
  <c r="QM21" i="6"/>
  <c r="QL21" i="6"/>
  <c r="QK21" i="6"/>
  <c r="QJ21" i="6"/>
  <c r="QI21" i="6"/>
  <c r="QH21" i="6"/>
  <c r="QG21" i="6"/>
  <c r="QF21" i="6"/>
  <c r="QE21" i="6"/>
  <c r="QD21" i="6"/>
  <c r="QC21" i="6"/>
  <c r="QB21" i="6"/>
  <c r="QA21" i="6"/>
  <c r="PZ21" i="6"/>
  <c r="PY21" i="6"/>
  <c r="PX21" i="6"/>
  <c r="PW21" i="6"/>
  <c r="PV21" i="6"/>
  <c r="PU21" i="6"/>
  <c r="PT21" i="6"/>
  <c r="PS21" i="6"/>
  <c r="PR21" i="6"/>
  <c r="PQ21" i="6"/>
  <c r="PP21" i="6"/>
  <c r="PO21" i="6"/>
  <c r="PN21" i="6"/>
  <c r="PM21" i="6"/>
  <c r="PL21" i="6"/>
  <c r="PK21" i="6"/>
  <c r="PJ21" i="6"/>
  <c r="PI21" i="6"/>
  <c r="PH21" i="6"/>
  <c r="PG21" i="6"/>
  <c r="PF21" i="6"/>
  <c r="PE21" i="6"/>
  <c r="PD21" i="6"/>
  <c r="PC21" i="6"/>
  <c r="PB21" i="6"/>
  <c r="PA21" i="6"/>
  <c r="OZ21" i="6"/>
  <c r="OY21" i="6"/>
  <c r="OX21" i="6"/>
  <c r="OW21" i="6"/>
  <c r="OV21" i="6"/>
  <c r="OU21" i="6"/>
  <c r="OT21" i="6"/>
  <c r="OS21" i="6"/>
  <c r="OR21" i="6"/>
  <c r="OQ21" i="6"/>
  <c r="OP21" i="6"/>
  <c r="OO21" i="6"/>
  <c r="ON21" i="6"/>
  <c r="OM21" i="6"/>
  <c r="OL21" i="6"/>
  <c r="OK21" i="6"/>
  <c r="OJ21" i="6"/>
  <c r="OI21" i="6"/>
  <c r="OH21" i="6"/>
  <c r="OG21" i="6"/>
  <c r="OF21" i="6"/>
  <c r="OE21" i="6"/>
  <c r="OD21" i="6"/>
  <c r="OC21" i="6"/>
  <c r="OB21" i="6"/>
  <c r="OA21" i="6"/>
  <c r="NZ21" i="6"/>
  <c r="NY21" i="6"/>
  <c r="NX21" i="6"/>
  <c r="NW21" i="6"/>
  <c r="NV21" i="6"/>
  <c r="NU21" i="6"/>
  <c r="NT21" i="6"/>
  <c r="NS21" i="6"/>
  <c r="NR21" i="6"/>
  <c r="NQ21" i="6"/>
  <c r="NP21" i="6"/>
  <c r="NO21" i="6"/>
  <c r="NN21" i="6"/>
  <c r="NM21" i="6"/>
  <c r="NL21" i="6"/>
  <c r="NK21" i="6"/>
  <c r="NJ21" i="6"/>
  <c r="NI21" i="6"/>
  <c r="NH21" i="6"/>
  <c r="NG21" i="6"/>
  <c r="NF21" i="6"/>
  <c r="NE21" i="6"/>
  <c r="ND21" i="6"/>
  <c r="NC21" i="6"/>
  <c r="NB21" i="6"/>
  <c r="NA21" i="6"/>
  <c r="MZ21" i="6"/>
  <c r="MY21" i="6"/>
  <c r="MX21" i="6"/>
  <c r="MW21" i="6"/>
  <c r="MV21" i="6"/>
  <c r="MU21" i="6"/>
  <c r="MT21" i="6"/>
  <c r="MS21" i="6"/>
  <c r="MR21" i="6"/>
  <c r="MQ21" i="6"/>
  <c r="MP21" i="6"/>
  <c r="MO21" i="6"/>
  <c r="MN21" i="6"/>
  <c r="MM21" i="6"/>
  <c r="ML21" i="6"/>
  <c r="MK21" i="6"/>
  <c r="MJ21" i="6"/>
  <c r="MI21" i="6"/>
  <c r="MH21" i="6"/>
  <c r="MG21" i="6"/>
  <c r="MF21" i="6"/>
  <c r="ME21" i="6"/>
  <c r="MD21" i="6"/>
  <c r="MC21" i="6"/>
  <c r="MB21" i="6"/>
  <c r="MA21" i="6"/>
  <c r="LZ21" i="6"/>
  <c r="LY21" i="6"/>
  <c r="LX21" i="6"/>
  <c r="LW21" i="6"/>
  <c r="LV21" i="6"/>
  <c r="LU21" i="6"/>
  <c r="LT21" i="6"/>
  <c r="LS21" i="6"/>
  <c r="LR21" i="6"/>
  <c r="LQ21" i="6"/>
  <c r="LP21" i="6"/>
  <c r="LO21" i="6"/>
  <c r="LN21" i="6"/>
  <c r="LM21" i="6"/>
  <c r="LL21" i="6"/>
  <c r="LK21" i="6"/>
  <c r="LJ21" i="6"/>
  <c r="LI21" i="6"/>
  <c r="LH21" i="6"/>
  <c r="LG21" i="6"/>
  <c r="LF21" i="6"/>
  <c r="LE21" i="6"/>
  <c r="LD21" i="6"/>
  <c r="LC21" i="6"/>
  <c r="LB21" i="6"/>
  <c r="LA21" i="6"/>
  <c r="KZ21" i="6"/>
  <c r="KY21" i="6"/>
  <c r="KX21" i="6"/>
  <c r="KW21" i="6"/>
  <c r="KV21" i="6"/>
  <c r="KU21" i="6"/>
  <c r="KT21" i="6"/>
  <c r="KS21" i="6"/>
  <c r="KR21" i="6"/>
  <c r="KQ21" i="6"/>
  <c r="KP21" i="6"/>
  <c r="KO21" i="6"/>
  <c r="KN21" i="6"/>
  <c r="KM21" i="6"/>
  <c r="KL21" i="6"/>
  <c r="KK21" i="6"/>
  <c r="KJ21" i="6"/>
  <c r="KI21" i="6"/>
  <c r="KH21" i="6"/>
  <c r="KG21" i="6"/>
  <c r="KF21" i="6"/>
  <c r="KE21" i="6"/>
  <c r="KD21" i="6"/>
  <c r="KC21" i="6"/>
  <c r="KB21" i="6"/>
  <c r="KA21" i="6"/>
  <c r="JZ21" i="6"/>
  <c r="JY21" i="6"/>
  <c r="JX21" i="6"/>
  <c r="JW21" i="6"/>
  <c r="JV21" i="6"/>
  <c r="JU21" i="6"/>
  <c r="JT21" i="6"/>
  <c r="JS21" i="6"/>
  <c r="JR21" i="6"/>
  <c r="JQ21" i="6"/>
  <c r="JP21" i="6"/>
  <c r="JO21" i="6"/>
  <c r="JN21" i="6"/>
  <c r="JM21" i="6"/>
  <c r="JL21" i="6"/>
  <c r="JK21" i="6"/>
  <c r="JJ21" i="6"/>
  <c r="JI21" i="6"/>
  <c r="JH21" i="6"/>
  <c r="JG21" i="6"/>
  <c r="JF21" i="6"/>
  <c r="JE21" i="6"/>
  <c r="JD21" i="6"/>
  <c r="JC21" i="6"/>
  <c r="JB21" i="6"/>
  <c r="JA21" i="6"/>
  <c r="IZ21" i="6"/>
  <c r="IY21" i="6"/>
  <c r="IX21" i="6"/>
  <c r="IW21" i="6"/>
  <c r="IV21" i="6"/>
  <c r="IU21" i="6"/>
  <c r="IT21" i="6"/>
  <c r="IS21" i="6"/>
  <c r="IR21" i="6"/>
  <c r="IQ21" i="6"/>
  <c r="IP21" i="6"/>
  <c r="IO21" i="6"/>
  <c r="IN21" i="6"/>
  <c r="IM21" i="6"/>
  <c r="IL21" i="6"/>
  <c r="IK21" i="6"/>
  <c r="IJ21" i="6"/>
  <c r="II21" i="6"/>
  <c r="IH21" i="6"/>
  <c r="IG21" i="6"/>
  <c r="IF21" i="6"/>
  <c r="IE21" i="6"/>
  <c r="ID21" i="6"/>
  <c r="IC21" i="6"/>
  <c r="IB21" i="6"/>
  <c r="IA21" i="6"/>
  <c r="HZ21" i="6"/>
  <c r="HY21" i="6"/>
  <c r="HX21" i="6"/>
  <c r="HW21" i="6"/>
  <c r="HV21" i="6"/>
  <c r="HU21" i="6"/>
  <c r="HT21" i="6"/>
  <c r="HS21" i="6"/>
  <c r="HR21" i="6"/>
  <c r="HQ21" i="6"/>
  <c r="HP21" i="6"/>
  <c r="HO21" i="6"/>
  <c r="HN21" i="6"/>
  <c r="HM21" i="6"/>
  <c r="HL21" i="6"/>
  <c r="HK21" i="6"/>
  <c r="HJ21" i="6"/>
  <c r="HI21" i="6"/>
  <c r="HH21" i="6"/>
  <c r="HG21" i="6"/>
  <c r="HF21" i="6"/>
  <c r="HE21" i="6"/>
  <c r="HD21" i="6"/>
  <c r="HC21" i="6"/>
  <c r="HB21" i="6"/>
  <c r="HA21" i="6"/>
  <c r="GZ21" i="6"/>
  <c r="GY21" i="6"/>
  <c r="GX21" i="6"/>
  <c r="GW21" i="6"/>
  <c r="GV21" i="6"/>
  <c r="GU21" i="6"/>
  <c r="GT21" i="6"/>
  <c r="GS21" i="6"/>
  <c r="GR21" i="6"/>
  <c r="GQ21" i="6"/>
  <c r="GP21" i="6"/>
  <c r="GO21" i="6"/>
  <c r="GN21" i="6"/>
  <c r="GM21" i="6"/>
  <c r="GL21" i="6"/>
  <c r="GK21" i="6"/>
  <c r="GJ21" i="6"/>
  <c r="GI21" i="6"/>
  <c r="GH21" i="6"/>
  <c r="GG21" i="6"/>
  <c r="GF21" i="6"/>
  <c r="GE21" i="6"/>
  <c r="GD21" i="6"/>
  <c r="GC21" i="6"/>
  <c r="GB21" i="6"/>
  <c r="GA21" i="6"/>
  <c r="FZ21" i="6"/>
  <c r="FY21" i="6"/>
  <c r="FX21" i="6"/>
  <c r="FW21" i="6"/>
  <c r="FV21" i="6"/>
  <c r="FU21" i="6"/>
  <c r="FT21" i="6"/>
  <c r="FS21" i="6"/>
  <c r="FR21" i="6"/>
  <c r="FQ21" i="6"/>
  <c r="FP21" i="6"/>
  <c r="FO21" i="6"/>
  <c r="FN21" i="6"/>
  <c r="FM21" i="6"/>
  <c r="FL21" i="6"/>
  <c r="FK21" i="6"/>
  <c r="FJ21" i="6"/>
  <c r="FI21" i="6"/>
  <c r="FH21" i="6"/>
  <c r="FG21" i="6"/>
  <c r="FF21" i="6"/>
  <c r="FE21" i="6"/>
  <c r="FD21" i="6"/>
  <c r="FC21" i="6"/>
  <c r="FB21" i="6"/>
  <c r="FA21" i="6"/>
  <c r="EZ21" i="6"/>
  <c r="EY21" i="6"/>
  <c r="EX21" i="6"/>
  <c r="EW21" i="6"/>
  <c r="EV21" i="6"/>
  <c r="EU21" i="6"/>
  <c r="ET21" i="6"/>
  <c r="ES21" i="6"/>
  <c r="ER21" i="6"/>
  <c r="EQ21" i="6"/>
  <c r="EP21" i="6"/>
  <c r="EO21" i="6"/>
  <c r="EN21" i="6"/>
  <c r="EM21" i="6"/>
  <c r="EL21" i="6"/>
  <c r="EK21" i="6"/>
  <c r="EJ21" i="6"/>
  <c r="EI21" i="6"/>
  <c r="EH21" i="6"/>
  <c r="EG21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SG20" i="6"/>
  <c r="SF20" i="6"/>
  <c r="SE20" i="6"/>
  <c r="SD20" i="6"/>
  <c r="SC20" i="6"/>
  <c r="SB20" i="6"/>
  <c r="SA20" i="6"/>
  <c r="RZ20" i="6"/>
  <c r="RY20" i="6"/>
  <c r="RX20" i="6"/>
  <c r="RW20" i="6"/>
  <c r="RV20" i="6"/>
  <c r="RU20" i="6"/>
  <c r="RT20" i="6"/>
  <c r="RS20" i="6"/>
  <c r="RR20" i="6"/>
  <c r="RQ20" i="6"/>
  <c r="RP20" i="6"/>
  <c r="RO20" i="6"/>
  <c r="RN20" i="6"/>
  <c r="RM20" i="6"/>
  <c r="RL20" i="6"/>
  <c r="RK20" i="6"/>
  <c r="RJ20" i="6"/>
  <c r="RI20" i="6"/>
  <c r="RH20" i="6"/>
  <c r="RG20" i="6"/>
  <c r="RF20" i="6"/>
  <c r="RE20" i="6"/>
  <c r="RD20" i="6"/>
  <c r="RC20" i="6"/>
  <c r="RB20" i="6"/>
  <c r="RA20" i="6"/>
  <c r="QZ20" i="6"/>
  <c r="QY20" i="6"/>
  <c r="QX20" i="6"/>
  <c r="QW20" i="6"/>
  <c r="QV20" i="6"/>
  <c r="QU20" i="6"/>
  <c r="QT20" i="6"/>
  <c r="QS20" i="6"/>
  <c r="QR20" i="6"/>
  <c r="QQ20" i="6"/>
  <c r="QP20" i="6"/>
  <c r="QO20" i="6"/>
  <c r="QN20" i="6"/>
  <c r="QM20" i="6"/>
  <c r="QL20" i="6"/>
  <c r="QK20" i="6"/>
  <c r="QJ20" i="6"/>
  <c r="QI20" i="6"/>
  <c r="QH20" i="6"/>
  <c r="QG20" i="6"/>
  <c r="QF20" i="6"/>
  <c r="QE20" i="6"/>
  <c r="QD20" i="6"/>
  <c r="QC20" i="6"/>
  <c r="QB20" i="6"/>
  <c r="QA20" i="6"/>
  <c r="PZ20" i="6"/>
  <c r="PY20" i="6"/>
  <c r="PX20" i="6"/>
  <c r="PW20" i="6"/>
  <c r="PV20" i="6"/>
  <c r="PU20" i="6"/>
  <c r="PT20" i="6"/>
  <c r="PS20" i="6"/>
  <c r="PR20" i="6"/>
  <c r="PQ20" i="6"/>
  <c r="PP20" i="6"/>
  <c r="PO20" i="6"/>
  <c r="PN20" i="6"/>
  <c r="PM20" i="6"/>
  <c r="PL20" i="6"/>
  <c r="PK20" i="6"/>
  <c r="PJ20" i="6"/>
  <c r="PI20" i="6"/>
  <c r="PH20" i="6"/>
  <c r="PG20" i="6"/>
  <c r="PF20" i="6"/>
  <c r="PE20" i="6"/>
  <c r="PD20" i="6"/>
  <c r="PC20" i="6"/>
  <c r="PB20" i="6"/>
  <c r="PA20" i="6"/>
  <c r="OZ20" i="6"/>
  <c r="OY20" i="6"/>
  <c r="OX20" i="6"/>
  <c r="OW20" i="6"/>
  <c r="OV20" i="6"/>
  <c r="OU20" i="6"/>
  <c r="OT20" i="6"/>
  <c r="OS20" i="6"/>
  <c r="OR20" i="6"/>
  <c r="OQ20" i="6"/>
  <c r="OP20" i="6"/>
  <c r="OO20" i="6"/>
  <c r="ON20" i="6"/>
  <c r="OM20" i="6"/>
  <c r="OL20" i="6"/>
  <c r="OK20" i="6"/>
  <c r="OJ20" i="6"/>
  <c r="OI20" i="6"/>
  <c r="OH20" i="6"/>
  <c r="OG20" i="6"/>
  <c r="OF20" i="6"/>
  <c r="OE20" i="6"/>
  <c r="OD20" i="6"/>
  <c r="OC20" i="6"/>
  <c r="OB20" i="6"/>
  <c r="OA20" i="6"/>
  <c r="NZ20" i="6"/>
  <c r="NY20" i="6"/>
  <c r="NX20" i="6"/>
  <c r="NW20" i="6"/>
  <c r="NV20" i="6"/>
  <c r="NU20" i="6"/>
  <c r="NT20" i="6"/>
  <c r="NS20" i="6"/>
  <c r="NR20" i="6"/>
  <c r="NQ20" i="6"/>
  <c r="NP20" i="6"/>
  <c r="NO20" i="6"/>
  <c r="NN20" i="6"/>
  <c r="NM20" i="6"/>
  <c r="NL20" i="6"/>
  <c r="NK20" i="6"/>
  <c r="NJ20" i="6"/>
  <c r="NI20" i="6"/>
  <c r="NH20" i="6"/>
  <c r="NG20" i="6"/>
  <c r="NF20" i="6"/>
  <c r="NE20" i="6"/>
  <c r="ND20" i="6"/>
  <c r="NC20" i="6"/>
  <c r="NB20" i="6"/>
  <c r="NA20" i="6"/>
  <c r="MZ20" i="6"/>
  <c r="MY20" i="6"/>
  <c r="MX20" i="6"/>
  <c r="MW20" i="6"/>
  <c r="MV20" i="6"/>
  <c r="MU20" i="6"/>
  <c r="MT20" i="6"/>
  <c r="MS20" i="6"/>
  <c r="MR20" i="6"/>
  <c r="MQ20" i="6"/>
  <c r="MP20" i="6"/>
  <c r="MO20" i="6"/>
  <c r="MN20" i="6"/>
  <c r="MM20" i="6"/>
  <c r="ML20" i="6"/>
  <c r="MK20" i="6"/>
  <c r="MJ20" i="6"/>
  <c r="MI20" i="6"/>
  <c r="MH20" i="6"/>
  <c r="MG20" i="6"/>
  <c r="MF20" i="6"/>
  <c r="ME20" i="6"/>
  <c r="MD20" i="6"/>
  <c r="MC20" i="6"/>
  <c r="MB20" i="6"/>
  <c r="MA20" i="6"/>
  <c r="LZ20" i="6"/>
  <c r="LY20" i="6"/>
  <c r="LX20" i="6"/>
  <c r="LW20" i="6"/>
  <c r="LV20" i="6"/>
  <c r="LU20" i="6"/>
  <c r="LT20" i="6"/>
  <c r="LS20" i="6"/>
  <c r="LR20" i="6"/>
  <c r="LQ20" i="6"/>
  <c r="LP20" i="6"/>
  <c r="LO20" i="6"/>
  <c r="LN20" i="6"/>
  <c r="LM20" i="6"/>
  <c r="LL20" i="6"/>
  <c r="LK20" i="6"/>
  <c r="LJ20" i="6"/>
  <c r="LI20" i="6"/>
  <c r="LH20" i="6"/>
  <c r="LG20" i="6"/>
  <c r="LF20" i="6"/>
  <c r="LE20" i="6"/>
  <c r="LD20" i="6"/>
  <c r="LC20" i="6"/>
  <c r="LB20" i="6"/>
  <c r="LA20" i="6"/>
  <c r="KZ20" i="6"/>
  <c r="KY20" i="6"/>
  <c r="KX20" i="6"/>
  <c r="KW20" i="6"/>
  <c r="KV20" i="6"/>
  <c r="KU20" i="6"/>
  <c r="KT20" i="6"/>
  <c r="KS20" i="6"/>
  <c r="KR20" i="6"/>
  <c r="KQ20" i="6"/>
  <c r="KP20" i="6"/>
  <c r="KO20" i="6"/>
  <c r="KN20" i="6"/>
  <c r="KM20" i="6"/>
  <c r="KL20" i="6"/>
  <c r="KK20" i="6"/>
  <c r="KJ20" i="6"/>
  <c r="KI20" i="6"/>
  <c r="KH20" i="6"/>
  <c r="KG20" i="6"/>
  <c r="KF20" i="6"/>
  <c r="KE20" i="6"/>
  <c r="KD20" i="6"/>
  <c r="KC20" i="6"/>
  <c r="KB20" i="6"/>
  <c r="KA20" i="6"/>
  <c r="JZ20" i="6"/>
  <c r="JY20" i="6"/>
  <c r="JX20" i="6"/>
  <c r="JW20" i="6"/>
  <c r="JV20" i="6"/>
  <c r="JU20" i="6"/>
  <c r="JT20" i="6"/>
  <c r="JS20" i="6"/>
  <c r="JR20" i="6"/>
  <c r="JQ20" i="6"/>
  <c r="JP20" i="6"/>
  <c r="JO20" i="6"/>
  <c r="JN20" i="6"/>
  <c r="JM20" i="6"/>
  <c r="JL20" i="6"/>
  <c r="JK20" i="6"/>
  <c r="JJ20" i="6"/>
  <c r="JI20" i="6"/>
  <c r="JH20" i="6"/>
  <c r="JG20" i="6"/>
  <c r="JF20" i="6"/>
  <c r="JE20" i="6"/>
  <c r="JD20" i="6"/>
  <c r="JC20" i="6"/>
  <c r="JB20" i="6"/>
  <c r="JA20" i="6"/>
  <c r="IZ20" i="6"/>
  <c r="IY20" i="6"/>
  <c r="IX20" i="6"/>
  <c r="IW20" i="6"/>
  <c r="IV20" i="6"/>
  <c r="IU20" i="6"/>
  <c r="IT20" i="6"/>
  <c r="IS20" i="6"/>
  <c r="IR20" i="6"/>
  <c r="IQ20" i="6"/>
  <c r="IP20" i="6"/>
  <c r="IO20" i="6"/>
  <c r="IN20" i="6"/>
  <c r="IM20" i="6"/>
  <c r="IL20" i="6"/>
  <c r="IK20" i="6"/>
  <c r="IJ20" i="6"/>
  <c r="II20" i="6"/>
  <c r="IH20" i="6"/>
  <c r="IG20" i="6"/>
  <c r="IF20" i="6"/>
  <c r="IE20" i="6"/>
  <c r="ID20" i="6"/>
  <c r="IC20" i="6"/>
  <c r="IB20" i="6"/>
  <c r="IA20" i="6"/>
  <c r="HZ20" i="6"/>
  <c r="HY20" i="6"/>
  <c r="HX20" i="6"/>
  <c r="HW20" i="6"/>
  <c r="HV20" i="6"/>
  <c r="HU20" i="6"/>
  <c r="HT20" i="6"/>
  <c r="HS20" i="6"/>
  <c r="HR20" i="6"/>
  <c r="HQ20" i="6"/>
  <c r="HP20" i="6"/>
  <c r="HO20" i="6"/>
  <c r="HN20" i="6"/>
  <c r="HM20" i="6"/>
  <c r="HL20" i="6"/>
  <c r="HK20" i="6"/>
  <c r="HJ20" i="6"/>
  <c r="HI20" i="6"/>
  <c r="HH20" i="6"/>
  <c r="HG20" i="6"/>
  <c r="HF20" i="6"/>
  <c r="HE20" i="6"/>
  <c r="HD20" i="6"/>
  <c r="HC20" i="6"/>
  <c r="HB20" i="6"/>
  <c r="HA20" i="6"/>
  <c r="GZ20" i="6"/>
  <c r="GY20" i="6"/>
  <c r="GX20" i="6"/>
  <c r="GW20" i="6"/>
  <c r="GV20" i="6"/>
  <c r="GU20" i="6"/>
  <c r="GT20" i="6"/>
  <c r="GS20" i="6"/>
  <c r="GR20" i="6"/>
  <c r="GQ20" i="6"/>
  <c r="GP20" i="6"/>
  <c r="GO20" i="6"/>
  <c r="GN20" i="6"/>
  <c r="GM20" i="6"/>
  <c r="GL20" i="6"/>
  <c r="GK20" i="6"/>
  <c r="GJ20" i="6"/>
  <c r="GI20" i="6"/>
  <c r="GH20" i="6"/>
  <c r="GG20" i="6"/>
  <c r="GF20" i="6"/>
  <c r="GE20" i="6"/>
  <c r="GD20" i="6"/>
  <c r="GC20" i="6"/>
  <c r="GB20" i="6"/>
  <c r="GA20" i="6"/>
  <c r="FZ20" i="6"/>
  <c r="FY20" i="6"/>
  <c r="FX20" i="6"/>
  <c r="FW20" i="6"/>
  <c r="FV20" i="6"/>
  <c r="FU20" i="6"/>
  <c r="FT20" i="6"/>
  <c r="FS20" i="6"/>
  <c r="FR20" i="6"/>
  <c r="FQ20" i="6"/>
  <c r="FP20" i="6"/>
  <c r="FO20" i="6"/>
  <c r="FN20" i="6"/>
  <c r="FM20" i="6"/>
  <c r="FL20" i="6"/>
  <c r="FK20" i="6"/>
  <c r="FJ20" i="6"/>
  <c r="FI20" i="6"/>
  <c r="FH20" i="6"/>
  <c r="FG20" i="6"/>
  <c r="FF20" i="6"/>
  <c r="FE20" i="6"/>
  <c r="FD20" i="6"/>
  <c r="FC20" i="6"/>
  <c r="FB20" i="6"/>
  <c r="FA20" i="6"/>
  <c r="EZ20" i="6"/>
  <c r="EY20" i="6"/>
  <c r="EX20" i="6"/>
  <c r="EW20" i="6"/>
  <c r="EV20" i="6"/>
  <c r="EU20" i="6"/>
  <c r="ET20" i="6"/>
  <c r="ES20" i="6"/>
  <c r="ER20" i="6"/>
  <c r="EQ20" i="6"/>
  <c r="EP20" i="6"/>
  <c r="EO20" i="6"/>
  <c r="EN20" i="6"/>
  <c r="EM20" i="6"/>
  <c r="EL20" i="6"/>
  <c r="EK20" i="6"/>
  <c r="EJ20" i="6"/>
  <c r="EI20" i="6"/>
  <c r="EH20" i="6"/>
  <c r="EG20" i="6"/>
  <c r="EF20" i="6"/>
  <c r="EE20" i="6"/>
  <c r="ED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SG19" i="6"/>
  <c r="SF19" i="6"/>
  <c r="SE19" i="6"/>
  <c r="SD19" i="6"/>
  <c r="SC19" i="6"/>
  <c r="SB19" i="6"/>
  <c r="SA19" i="6"/>
  <c r="RZ19" i="6"/>
  <c r="RY19" i="6"/>
  <c r="RX19" i="6"/>
  <c r="RW19" i="6"/>
  <c r="RV19" i="6"/>
  <c r="RU19" i="6"/>
  <c r="RT19" i="6"/>
  <c r="RS19" i="6"/>
  <c r="RR19" i="6"/>
  <c r="RQ19" i="6"/>
  <c r="RP19" i="6"/>
  <c r="RO19" i="6"/>
  <c r="RN19" i="6"/>
  <c r="RM19" i="6"/>
  <c r="RL19" i="6"/>
  <c r="RK19" i="6"/>
  <c r="RJ19" i="6"/>
  <c r="RI19" i="6"/>
  <c r="RH19" i="6"/>
  <c r="RG19" i="6"/>
  <c r="RF19" i="6"/>
  <c r="RE19" i="6"/>
  <c r="RD19" i="6"/>
  <c r="RC19" i="6"/>
  <c r="RB19" i="6"/>
  <c r="RA19" i="6"/>
  <c r="QZ19" i="6"/>
  <c r="QY19" i="6"/>
  <c r="QX19" i="6"/>
  <c r="QW19" i="6"/>
  <c r="QV19" i="6"/>
  <c r="QU19" i="6"/>
  <c r="QT19" i="6"/>
  <c r="QS19" i="6"/>
  <c r="QR19" i="6"/>
  <c r="QQ19" i="6"/>
  <c r="QP19" i="6"/>
  <c r="QO19" i="6"/>
  <c r="QN19" i="6"/>
  <c r="QM19" i="6"/>
  <c r="QL19" i="6"/>
  <c r="QK19" i="6"/>
  <c r="QJ19" i="6"/>
  <c r="QI19" i="6"/>
  <c r="QH19" i="6"/>
  <c r="QG19" i="6"/>
  <c r="QF19" i="6"/>
  <c r="QE19" i="6"/>
  <c r="QD19" i="6"/>
  <c r="QC19" i="6"/>
  <c r="QB19" i="6"/>
  <c r="QA19" i="6"/>
  <c r="PZ19" i="6"/>
  <c r="PY19" i="6"/>
  <c r="PX19" i="6"/>
  <c r="PW19" i="6"/>
  <c r="PV19" i="6"/>
  <c r="PU19" i="6"/>
  <c r="PT19" i="6"/>
  <c r="PS19" i="6"/>
  <c r="PR19" i="6"/>
  <c r="PQ19" i="6"/>
  <c r="PP19" i="6"/>
  <c r="PO19" i="6"/>
  <c r="PN19" i="6"/>
  <c r="PM19" i="6"/>
  <c r="PL19" i="6"/>
  <c r="PK19" i="6"/>
  <c r="PJ19" i="6"/>
  <c r="PI19" i="6"/>
  <c r="PH19" i="6"/>
  <c r="PG19" i="6"/>
  <c r="PF19" i="6"/>
  <c r="PE19" i="6"/>
  <c r="PD19" i="6"/>
  <c r="PC19" i="6"/>
  <c r="PB19" i="6"/>
  <c r="PA19" i="6"/>
  <c r="OZ19" i="6"/>
  <c r="OY19" i="6"/>
  <c r="OX19" i="6"/>
  <c r="OW19" i="6"/>
  <c r="OV19" i="6"/>
  <c r="OU19" i="6"/>
  <c r="OT19" i="6"/>
  <c r="OS19" i="6"/>
  <c r="OR19" i="6"/>
  <c r="OQ19" i="6"/>
  <c r="OP19" i="6"/>
  <c r="OO19" i="6"/>
  <c r="ON19" i="6"/>
  <c r="OM19" i="6"/>
  <c r="OL19" i="6"/>
  <c r="OK19" i="6"/>
  <c r="OJ19" i="6"/>
  <c r="OI19" i="6"/>
  <c r="OH19" i="6"/>
  <c r="OG19" i="6"/>
  <c r="OF19" i="6"/>
  <c r="OE19" i="6"/>
  <c r="OD19" i="6"/>
  <c r="OC19" i="6"/>
  <c r="OB19" i="6"/>
  <c r="OA19" i="6"/>
  <c r="NZ19" i="6"/>
  <c r="NY19" i="6"/>
  <c r="NX19" i="6"/>
  <c r="NW19" i="6"/>
  <c r="NV19" i="6"/>
  <c r="NU19" i="6"/>
  <c r="NT19" i="6"/>
  <c r="NS19" i="6"/>
  <c r="NR19" i="6"/>
  <c r="NQ19" i="6"/>
  <c r="NP19" i="6"/>
  <c r="NO19" i="6"/>
  <c r="NN19" i="6"/>
  <c r="NM19" i="6"/>
  <c r="NL19" i="6"/>
  <c r="NK19" i="6"/>
  <c r="NJ19" i="6"/>
  <c r="NI19" i="6"/>
  <c r="NH19" i="6"/>
  <c r="NG19" i="6"/>
  <c r="NF19" i="6"/>
  <c r="NE19" i="6"/>
  <c r="ND19" i="6"/>
  <c r="NC19" i="6"/>
  <c r="NB19" i="6"/>
  <c r="NA19" i="6"/>
  <c r="MZ19" i="6"/>
  <c r="MY19" i="6"/>
  <c r="MX19" i="6"/>
  <c r="MW19" i="6"/>
  <c r="MV19" i="6"/>
  <c r="MU19" i="6"/>
  <c r="MT19" i="6"/>
  <c r="MS19" i="6"/>
  <c r="MR19" i="6"/>
  <c r="MQ19" i="6"/>
  <c r="MP19" i="6"/>
  <c r="MO19" i="6"/>
  <c r="MN19" i="6"/>
  <c r="MM19" i="6"/>
  <c r="ML19" i="6"/>
  <c r="MK19" i="6"/>
  <c r="MJ19" i="6"/>
  <c r="MI19" i="6"/>
  <c r="MH19" i="6"/>
  <c r="MG19" i="6"/>
  <c r="MF19" i="6"/>
  <c r="ME19" i="6"/>
  <c r="MD19" i="6"/>
  <c r="MC19" i="6"/>
  <c r="MB19" i="6"/>
  <c r="MA19" i="6"/>
  <c r="LZ19" i="6"/>
  <c r="LY19" i="6"/>
  <c r="LX19" i="6"/>
  <c r="LW19" i="6"/>
  <c r="LV19" i="6"/>
  <c r="LU19" i="6"/>
  <c r="LT19" i="6"/>
  <c r="LS19" i="6"/>
  <c r="LR19" i="6"/>
  <c r="LQ19" i="6"/>
  <c r="LP19" i="6"/>
  <c r="LO19" i="6"/>
  <c r="LN19" i="6"/>
  <c r="LM19" i="6"/>
  <c r="LL19" i="6"/>
  <c r="LK19" i="6"/>
  <c r="LJ19" i="6"/>
  <c r="LI19" i="6"/>
  <c r="LH19" i="6"/>
  <c r="LG19" i="6"/>
  <c r="LF19" i="6"/>
  <c r="LE19" i="6"/>
  <c r="LD19" i="6"/>
  <c r="LC19" i="6"/>
  <c r="LB19" i="6"/>
  <c r="LA19" i="6"/>
  <c r="KZ19" i="6"/>
  <c r="KY19" i="6"/>
  <c r="KX19" i="6"/>
  <c r="KW19" i="6"/>
  <c r="KV19" i="6"/>
  <c r="KU19" i="6"/>
  <c r="KT19" i="6"/>
  <c r="KS19" i="6"/>
  <c r="KR19" i="6"/>
  <c r="KQ19" i="6"/>
  <c r="KP19" i="6"/>
  <c r="KO19" i="6"/>
  <c r="KN19" i="6"/>
  <c r="KM19" i="6"/>
  <c r="KL19" i="6"/>
  <c r="KK19" i="6"/>
  <c r="KJ19" i="6"/>
  <c r="KI19" i="6"/>
  <c r="KH19" i="6"/>
  <c r="KG19" i="6"/>
  <c r="KF19" i="6"/>
  <c r="KE19" i="6"/>
  <c r="KD19" i="6"/>
  <c r="KC19" i="6"/>
  <c r="KB19" i="6"/>
  <c r="KA19" i="6"/>
  <c r="JZ19" i="6"/>
  <c r="JY19" i="6"/>
  <c r="JX19" i="6"/>
  <c r="JW19" i="6"/>
  <c r="JV19" i="6"/>
  <c r="JU19" i="6"/>
  <c r="JT19" i="6"/>
  <c r="JS19" i="6"/>
  <c r="JR19" i="6"/>
  <c r="JQ19" i="6"/>
  <c r="JP19" i="6"/>
  <c r="JO19" i="6"/>
  <c r="JN19" i="6"/>
  <c r="JM19" i="6"/>
  <c r="JL19" i="6"/>
  <c r="JK19" i="6"/>
  <c r="JJ19" i="6"/>
  <c r="JI19" i="6"/>
  <c r="JH19" i="6"/>
  <c r="JG19" i="6"/>
  <c r="JF19" i="6"/>
  <c r="JE19" i="6"/>
  <c r="JD19" i="6"/>
  <c r="JC19" i="6"/>
  <c r="JB19" i="6"/>
  <c r="JA19" i="6"/>
  <c r="IZ19" i="6"/>
  <c r="IY19" i="6"/>
  <c r="IX19" i="6"/>
  <c r="IW19" i="6"/>
  <c r="IV19" i="6"/>
  <c r="IU19" i="6"/>
  <c r="IT19" i="6"/>
  <c r="IS19" i="6"/>
  <c r="IR19" i="6"/>
  <c r="IQ19" i="6"/>
  <c r="IP19" i="6"/>
  <c r="IO19" i="6"/>
  <c r="IN19" i="6"/>
  <c r="IM19" i="6"/>
  <c r="IL19" i="6"/>
  <c r="IK19" i="6"/>
  <c r="IJ19" i="6"/>
  <c r="II19" i="6"/>
  <c r="IH19" i="6"/>
  <c r="IG19" i="6"/>
  <c r="IF19" i="6"/>
  <c r="IE19" i="6"/>
  <c r="ID19" i="6"/>
  <c r="IC19" i="6"/>
  <c r="IB19" i="6"/>
  <c r="IA19" i="6"/>
  <c r="HZ19" i="6"/>
  <c r="HY19" i="6"/>
  <c r="HX19" i="6"/>
  <c r="HW19" i="6"/>
  <c r="HV19" i="6"/>
  <c r="HU19" i="6"/>
  <c r="HT19" i="6"/>
  <c r="HS19" i="6"/>
  <c r="HR19" i="6"/>
  <c r="HQ19" i="6"/>
  <c r="HP19" i="6"/>
  <c r="HO19" i="6"/>
  <c r="HN19" i="6"/>
  <c r="HM19" i="6"/>
  <c r="HL19" i="6"/>
  <c r="HK19" i="6"/>
  <c r="HJ19" i="6"/>
  <c r="HI19" i="6"/>
  <c r="HH19" i="6"/>
  <c r="HG19" i="6"/>
  <c r="HF19" i="6"/>
  <c r="HE19" i="6"/>
  <c r="HD19" i="6"/>
  <c r="HC19" i="6"/>
  <c r="HB19" i="6"/>
  <c r="HA19" i="6"/>
  <c r="GZ19" i="6"/>
  <c r="GY19" i="6"/>
  <c r="GX19" i="6"/>
  <c r="GW19" i="6"/>
  <c r="GV19" i="6"/>
  <c r="GU19" i="6"/>
  <c r="GT19" i="6"/>
  <c r="GS19" i="6"/>
  <c r="GR19" i="6"/>
  <c r="GQ19" i="6"/>
  <c r="GP19" i="6"/>
  <c r="GO19" i="6"/>
  <c r="GN19" i="6"/>
  <c r="GM19" i="6"/>
  <c r="GL19" i="6"/>
  <c r="GK19" i="6"/>
  <c r="GJ19" i="6"/>
  <c r="GI19" i="6"/>
  <c r="GH19" i="6"/>
  <c r="GG19" i="6"/>
  <c r="GF19" i="6"/>
  <c r="GE19" i="6"/>
  <c r="GD19" i="6"/>
  <c r="GC19" i="6"/>
  <c r="GB19" i="6"/>
  <c r="GA19" i="6"/>
  <c r="FZ19" i="6"/>
  <c r="FY19" i="6"/>
  <c r="FX19" i="6"/>
  <c r="FW19" i="6"/>
  <c r="FV19" i="6"/>
  <c r="FU19" i="6"/>
  <c r="FT19" i="6"/>
  <c r="FS19" i="6"/>
  <c r="FR19" i="6"/>
  <c r="FQ19" i="6"/>
  <c r="FP19" i="6"/>
  <c r="FO19" i="6"/>
  <c r="FN19" i="6"/>
  <c r="FM19" i="6"/>
  <c r="FL19" i="6"/>
  <c r="FK19" i="6"/>
  <c r="FJ19" i="6"/>
  <c r="FI19" i="6"/>
  <c r="FH19" i="6"/>
  <c r="FG19" i="6"/>
  <c r="FF19" i="6"/>
  <c r="FE19" i="6"/>
  <c r="FD19" i="6"/>
  <c r="FC19" i="6"/>
  <c r="FB19" i="6"/>
  <c r="FA19" i="6"/>
  <c r="EZ19" i="6"/>
  <c r="EY19" i="6"/>
  <c r="EX19" i="6"/>
  <c r="EW19" i="6"/>
  <c r="EV19" i="6"/>
  <c r="EU19" i="6"/>
  <c r="ET19" i="6"/>
  <c r="ES19" i="6"/>
  <c r="ER19" i="6"/>
  <c r="EQ19" i="6"/>
  <c r="EP19" i="6"/>
  <c r="EO19" i="6"/>
  <c r="EN19" i="6"/>
  <c r="EM19" i="6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SG18" i="6"/>
  <c r="SF18" i="6"/>
  <c r="SE18" i="6"/>
  <c r="SD18" i="6"/>
  <c r="SC18" i="6"/>
  <c r="SB18" i="6"/>
  <c r="SA18" i="6"/>
  <c r="RZ18" i="6"/>
  <c r="RY18" i="6"/>
  <c r="RX18" i="6"/>
  <c r="RW18" i="6"/>
  <c r="RV18" i="6"/>
  <c r="RU18" i="6"/>
  <c r="RT18" i="6"/>
  <c r="RS18" i="6"/>
  <c r="RR18" i="6"/>
  <c r="RQ18" i="6"/>
  <c r="RP18" i="6"/>
  <c r="RO18" i="6"/>
  <c r="RN18" i="6"/>
  <c r="RM18" i="6"/>
  <c r="RL18" i="6"/>
  <c r="RK18" i="6"/>
  <c r="RJ18" i="6"/>
  <c r="RI18" i="6"/>
  <c r="RH18" i="6"/>
  <c r="RG18" i="6"/>
  <c r="RF18" i="6"/>
  <c r="RE18" i="6"/>
  <c r="RD18" i="6"/>
  <c r="RC18" i="6"/>
  <c r="RB18" i="6"/>
  <c r="RA18" i="6"/>
  <c r="QZ18" i="6"/>
  <c r="QY18" i="6"/>
  <c r="QX18" i="6"/>
  <c r="QW18" i="6"/>
  <c r="QV18" i="6"/>
  <c r="QU18" i="6"/>
  <c r="QT18" i="6"/>
  <c r="QS18" i="6"/>
  <c r="QR18" i="6"/>
  <c r="QQ18" i="6"/>
  <c r="QP18" i="6"/>
  <c r="QO18" i="6"/>
  <c r="QN18" i="6"/>
  <c r="QM18" i="6"/>
  <c r="QL18" i="6"/>
  <c r="QK18" i="6"/>
  <c r="QJ18" i="6"/>
  <c r="QI18" i="6"/>
  <c r="QH18" i="6"/>
  <c r="QG18" i="6"/>
  <c r="QF18" i="6"/>
  <c r="QE18" i="6"/>
  <c r="QD18" i="6"/>
  <c r="QC18" i="6"/>
  <c r="QB18" i="6"/>
  <c r="QA18" i="6"/>
  <c r="PZ18" i="6"/>
  <c r="PY18" i="6"/>
  <c r="PX18" i="6"/>
  <c r="PW18" i="6"/>
  <c r="PV18" i="6"/>
  <c r="PU18" i="6"/>
  <c r="PT18" i="6"/>
  <c r="PS18" i="6"/>
  <c r="PR18" i="6"/>
  <c r="PQ18" i="6"/>
  <c r="PP18" i="6"/>
  <c r="PO18" i="6"/>
  <c r="PN18" i="6"/>
  <c r="PM18" i="6"/>
  <c r="PL18" i="6"/>
  <c r="PK18" i="6"/>
  <c r="PJ18" i="6"/>
  <c r="PI18" i="6"/>
  <c r="PH18" i="6"/>
  <c r="PG18" i="6"/>
  <c r="PF18" i="6"/>
  <c r="PE18" i="6"/>
  <c r="PD18" i="6"/>
  <c r="PC18" i="6"/>
  <c r="PB18" i="6"/>
  <c r="PA18" i="6"/>
  <c r="OZ18" i="6"/>
  <c r="OY18" i="6"/>
  <c r="OX18" i="6"/>
  <c r="OW18" i="6"/>
  <c r="OV18" i="6"/>
  <c r="OU18" i="6"/>
  <c r="OT18" i="6"/>
  <c r="OS18" i="6"/>
  <c r="OR18" i="6"/>
  <c r="OQ18" i="6"/>
  <c r="OP18" i="6"/>
  <c r="OO18" i="6"/>
  <c r="ON18" i="6"/>
  <c r="OM18" i="6"/>
  <c r="OL18" i="6"/>
  <c r="OK18" i="6"/>
  <c r="OJ18" i="6"/>
  <c r="OI18" i="6"/>
  <c r="OH18" i="6"/>
  <c r="OG18" i="6"/>
  <c r="OF18" i="6"/>
  <c r="OE18" i="6"/>
  <c r="OD18" i="6"/>
  <c r="OC18" i="6"/>
  <c r="OB18" i="6"/>
  <c r="OA18" i="6"/>
  <c r="NZ18" i="6"/>
  <c r="NY18" i="6"/>
  <c r="NX18" i="6"/>
  <c r="NW18" i="6"/>
  <c r="NV18" i="6"/>
  <c r="NU18" i="6"/>
  <c r="NT18" i="6"/>
  <c r="NS18" i="6"/>
  <c r="NR18" i="6"/>
  <c r="NQ18" i="6"/>
  <c r="NP18" i="6"/>
  <c r="NO18" i="6"/>
  <c r="NN18" i="6"/>
  <c r="NM18" i="6"/>
  <c r="NL18" i="6"/>
  <c r="NK18" i="6"/>
  <c r="NJ18" i="6"/>
  <c r="NI18" i="6"/>
  <c r="NH18" i="6"/>
  <c r="NG18" i="6"/>
  <c r="NF18" i="6"/>
  <c r="NE18" i="6"/>
  <c r="ND18" i="6"/>
  <c r="NC18" i="6"/>
  <c r="NB18" i="6"/>
  <c r="NA18" i="6"/>
  <c r="MZ18" i="6"/>
  <c r="MY18" i="6"/>
  <c r="MX18" i="6"/>
  <c r="MW18" i="6"/>
  <c r="MV18" i="6"/>
  <c r="MU18" i="6"/>
  <c r="MT18" i="6"/>
  <c r="MS18" i="6"/>
  <c r="MR18" i="6"/>
  <c r="MQ18" i="6"/>
  <c r="MP18" i="6"/>
  <c r="MO18" i="6"/>
  <c r="MN18" i="6"/>
  <c r="MM18" i="6"/>
  <c r="ML18" i="6"/>
  <c r="MK18" i="6"/>
  <c r="MJ18" i="6"/>
  <c r="MI18" i="6"/>
  <c r="MH18" i="6"/>
  <c r="MG18" i="6"/>
  <c r="MF18" i="6"/>
  <c r="ME18" i="6"/>
  <c r="MD18" i="6"/>
  <c r="MC18" i="6"/>
  <c r="MB18" i="6"/>
  <c r="MA18" i="6"/>
  <c r="LZ18" i="6"/>
  <c r="LY18" i="6"/>
  <c r="LX18" i="6"/>
  <c r="LW18" i="6"/>
  <c r="LV18" i="6"/>
  <c r="LU18" i="6"/>
  <c r="LT18" i="6"/>
  <c r="LS18" i="6"/>
  <c r="LR18" i="6"/>
  <c r="LQ18" i="6"/>
  <c r="LP18" i="6"/>
  <c r="LO18" i="6"/>
  <c r="LN18" i="6"/>
  <c r="LM18" i="6"/>
  <c r="LL18" i="6"/>
  <c r="LK18" i="6"/>
  <c r="LJ18" i="6"/>
  <c r="LI18" i="6"/>
  <c r="LH18" i="6"/>
  <c r="LG18" i="6"/>
  <c r="LF18" i="6"/>
  <c r="LE18" i="6"/>
  <c r="LD18" i="6"/>
  <c r="LC18" i="6"/>
  <c r="LB18" i="6"/>
  <c r="LA18" i="6"/>
  <c r="KZ18" i="6"/>
  <c r="KY18" i="6"/>
  <c r="KX18" i="6"/>
  <c r="KW18" i="6"/>
  <c r="KV18" i="6"/>
  <c r="KU18" i="6"/>
  <c r="KT18" i="6"/>
  <c r="KS18" i="6"/>
  <c r="KR18" i="6"/>
  <c r="KQ18" i="6"/>
  <c r="KP18" i="6"/>
  <c r="KO18" i="6"/>
  <c r="KN18" i="6"/>
  <c r="KM18" i="6"/>
  <c r="KL18" i="6"/>
  <c r="KK18" i="6"/>
  <c r="KJ18" i="6"/>
  <c r="KI18" i="6"/>
  <c r="KH18" i="6"/>
  <c r="KG18" i="6"/>
  <c r="KF18" i="6"/>
  <c r="KE18" i="6"/>
  <c r="KD18" i="6"/>
  <c r="KC18" i="6"/>
  <c r="KB18" i="6"/>
  <c r="KA18" i="6"/>
  <c r="JZ18" i="6"/>
  <c r="JY18" i="6"/>
  <c r="JX18" i="6"/>
  <c r="JW18" i="6"/>
  <c r="JV18" i="6"/>
  <c r="JU18" i="6"/>
  <c r="JT18" i="6"/>
  <c r="JS18" i="6"/>
  <c r="JR18" i="6"/>
  <c r="JQ18" i="6"/>
  <c r="JP18" i="6"/>
  <c r="JO18" i="6"/>
  <c r="JN18" i="6"/>
  <c r="JM18" i="6"/>
  <c r="JL18" i="6"/>
  <c r="JK18" i="6"/>
  <c r="JJ18" i="6"/>
  <c r="JI18" i="6"/>
  <c r="JH18" i="6"/>
  <c r="JG18" i="6"/>
  <c r="JF18" i="6"/>
  <c r="JE18" i="6"/>
  <c r="JD18" i="6"/>
  <c r="JC18" i="6"/>
  <c r="JB18" i="6"/>
  <c r="JA18" i="6"/>
  <c r="IZ18" i="6"/>
  <c r="IY18" i="6"/>
  <c r="IX18" i="6"/>
  <c r="IW18" i="6"/>
  <c r="IV18" i="6"/>
  <c r="IU18" i="6"/>
  <c r="IT18" i="6"/>
  <c r="IS18" i="6"/>
  <c r="IR18" i="6"/>
  <c r="IQ18" i="6"/>
  <c r="IP18" i="6"/>
  <c r="IO18" i="6"/>
  <c r="IN18" i="6"/>
  <c r="IM18" i="6"/>
  <c r="IL18" i="6"/>
  <c r="IK18" i="6"/>
  <c r="IJ18" i="6"/>
  <c r="II18" i="6"/>
  <c r="IH18" i="6"/>
  <c r="IG18" i="6"/>
  <c r="IF18" i="6"/>
  <c r="IE18" i="6"/>
  <c r="ID18" i="6"/>
  <c r="IC18" i="6"/>
  <c r="IB18" i="6"/>
  <c r="IA18" i="6"/>
  <c r="HZ18" i="6"/>
  <c r="HY18" i="6"/>
  <c r="HX18" i="6"/>
  <c r="HW18" i="6"/>
  <c r="HV18" i="6"/>
  <c r="HU18" i="6"/>
  <c r="HT18" i="6"/>
  <c r="HS18" i="6"/>
  <c r="HR18" i="6"/>
  <c r="HQ18" i="6"/>
  <c r="HP18" i="6"/>
  <c r="HO18" i="6"/>
  <c r="HN18" i="6"/>
  <c r="HM18" i="6"/>
  <c r="HL18" i="6"/>
  <c r="HK18" i="6"/>
  <c r="HJ18" i="6"/>
  <c r="HI18" i="6"/>
  <c r="HH18" i="6"/>
  <c r="HG18" i="6"/>
  <c r="HF18" i="6"/>
  <c r="HE18" i="6"/>
  <c r="HD18" i="6"/>
  <c r="HC18" i="6"/>
  <c r="HB18" i="6"/>
  <c r="HA18" i="6"/>
  <c r="GZ18" i="6"/>
  <c r="GY18" i="6"/>
  <c r="GX18" i="6"/>
  <c r="GW18" i="6"/>
  <c r="GV18" i="6"/>
  <c r="GU18" i="6"/>
  <c r="GT18" i="6"/>
  <c r="GS18" i="6"/>
  <c r="GR18" i="6"/>
  <c r="GQ18" i="6"/>
  <c r="GP18" i="6"/>
  <c r="GO18" i="6"/>
  <c r="GN18" i="6"/>
  <c r="GM18" i="6"/>
  <c r="GL18" i="6"/>
  <c r="GK18" i="6"/>
  <c r="GJ18" i="6"/>
  <c r="GI18" i="6"/>
  <c r="GH18" i="6"/>
  <c r="GG18" i="6"/>
  <c r="GF18" i="6"/>
  <c r="GE18" i="6"/>
  <c r="GD18" i="6"/>
  <c r="GC18" i="6"/>
  <c r="GB18" i="6"/>
  <c r="GA18" i="6"/>
  <c r="FZ18" i="6"/>
  <c r="FY18" i="6"/>
  <c r="FX18" i="6"/>
  <c r="FW18" i="6"/>
  <c r="FV18" i="6"/>
  <c r="FU18" i="6"/>
  <c r="FT18" i="6"/>
  <c r="FS18" i="6"/>
  <c r="FR18" i="6"/>
  <c r="FQ18" i="6"/>
  <c r="FP18" i="6"/>
  <c r="FO18" i="6"/>
  <c r="FN18" i="6"/>
  <c r="FM18" i="6"/>
  <c r="FL18" i="6"/>
  <c r="FK18" i="6"/>
  <c r="FJ18" i="6"/>
  <c r="FI18" i="6"/>
  <c r="FH18" i="6"/>
  <c r="FG18" i="6"/>
  <c r="FF18" i="6"/>
  <c r="FE18" i="6"/>
  <c r="FD18" i="6"/>
  <c r="FC18" i="6"/>
  <c r="FB18" i="6"/>
  <c r="FA18" i="6"/>
  <c r="EZ18" i="6"/>
  <c r="EY18" i="6"/>
  <c r="EX18" i="6"/>
  <c r="EW18" i="6"/>
  <c r="EV18" i="6"/>
  <c r="EU18" i="6"/>
  <c r="ET18" i="6"/>
  <c r="ES18" i="6"/>
  <c r="ER18" i="6"/>
  <c r="EQ18" i="6"/>
  <c r="EP18" i="6"/>
  <c r="EO18" i="6"/>
  <c r="EN18" i="6"/>
  <c r="EM18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SG17" i="6"/>
  <c r="SF17" i="6"/>
  <c r="SE17" i="6"/>
  <c r="SD17" i="6"/>
  <c r="SC17" i="6"/>
  <c r="SB17" i="6"/>
  <c r="SA17" i="6"/>
  <c r="RZ17" i="6"/>
  <c r="RY17" i="6"/>
  <c r="RX17" i="6"/>
  <c r="RW17" i="6"/>
  <c r="RV17" i="6"/>
  <c r="RU17" i="6"/>
  <c r="RT17" i="6"/>
  <c r="RS17" i="6"/>
  <c r="RR17" i="6"/>
  <c r="RQ17" i="6"/>
  <c r="RP17" i="6"/>
  <c r="RO17" i="6"/>
  <c r="RN17" i="6"/>
  <c r="RM17" i="6"/>
  <c r="RL17" i="6"/>
  <c r="RK17" i="6"/>
  <c r="RJ17" i="6"/>
  <c r="RI17" i="6"/>
  <c r="RH17" i="6"/>
  <c r="RG17" i="6"/>
  <c r="RF17" i="6"/>
  <c r="RE17" i="6"/>
  <c r="RD17" i="6"/>
  <c r="RC17" i="6"/>
  <c r="RB17" i="6"/>
  <c r="RA17" i="6"/>
  <c r="QZ17" i="6"/>
  <c r="QY17" i="6"/>
  <c r="QX17" i="6"/>
  <c r="QW17" i="6"/>
  <c r="QV17" i="6"/>
  <c r="QU17" i="6"/>
  <c r="QT17" i="6"/>
  <c r="QS17" i="6"/>
  <c r="QR17" i="6"/>
  <c r="QQ17" i="6"/>
  <c r="QP17" i="6"/>
  <c r="QO17" i="6"/>
  <c r="QN17" i="6"/>
  <c r="QM17" i="6"/>
  <c r="QL17" i="6"/>
  <c r="QK17" i="6"/>
  <c r="QJ17" i="6"/>
  <c r="QI17" i="6"/>
  <c r="QH17" i="6"/>
  <c r="QG17" i="6"/>
  <c r="QF17" i="6"/>
  <c r="QE17" i="6"/>
  <c r="QD17" i="6"/>
  <c r="QC17" i="6"/>
  <c r="QB17" i="6"/>
  <c r="QA17" i="6"/>
  <c r="PZ17" i="6"/>
  <c r="PY17" i="6"/>
  <c r="PX17" i="6"/>
  <c r="PW17" i="6"/>
  <c r="PV17" i="6"/>
  <c r="PU17" i="6"/>
  <c r="PT17" i="6"/>
  <c r="PS17" i="6"/>
  <c r="PR17" i="6"/>
  <c r="PQ17" i="6"/>
  <c r="PP17" i="6"/>
  <c r="PO17" i="6"/>
  <c r="PN17" i="6"/>
  <c r="PM17" i="6"/>
  <c r="PL17" i="6"/>
  <c r="PK17" i="6"/>
  <c r="PJ17" i="6"/>
  <c r="PI17" i="6"/>
  <c r="PH17" i="6"/>
  <c r="PG17" i="6"/>
  <c r="PF17" i="6"/>
  <c r="PE17" i="6"/>
  <c r="PD17" i="6"/>
  <c r="PC17" i="6"/>
  <c r="PB17" i="6"/>
  <c r="PA17" i="6"/>
  <c r="OZ17" i="6"/>
  <c r="OY17" i="6"/>
  <c r="OX17" i="6"/>
  <c r="OW17" i="6"/>
  <c r="OV17" i="6"/>
  <c r="OU17" i="6"/>
  <c r="OT17" i="6"/>
  <c r="OS17" i="6"/>
  <c r="OR17" i="6"/>
  <c r="OQ17" i="6"/>
  <c r="OP17" i="6"/>
  <c r="OO17" i="6"/>
  <c r="ON17" i="6"/>
  <c r="OM17" i="6"/>
  <c r="OL17" i="6"/>
  <c r="OK17" i="6"/>
  <c r="OJ17" i="6"/>
  <c r="OI17" i="6"/>
  <c r="OH17" i="6"/>
  <c r="OG17" i="6"/>
  <c r="OF17" i="6"/>
  <c r="OE17" i="6"/>
  <c r="OD17" i="6"/>
  <c r="OC17" i="6"/>
  <c r="OB17" i="6"/>
  <c r="OA17" i="6"/>
  <c r="NZ17" i="6"/>
  <c r="NY17" i="6"/>
  <c r="NX17" i="6"/>
  <c r="NW17" i="6"/>
  <c r="NV17" i="6"/>
  <c r="NU17" i="6"/>
  <c r="NT17" i="6"/>
  <c r="NS17" i="6"/>
  <c r="NR17" i="6"/>
  <c r="NQ17" i="6"/>
  <c r="NP17" i="6"/>
  <c r="NO17" i="6"/>
  <c r="NN17" i="6"/>
  <c r="NM17" i="6"/>
  <c r="NL17" i="6"/>
  <c r="NK17" i="6"/>
  <c r="NJ17" i="6"/>
  <c r="NI17" i="6"/>
  <c r="NH17" i="6"/>
  <c r="NG17" i="6"/>
  <c r="NF17" i="6"/>
  <c r="NE17" i="6"/>
  <c r="ND17" i="6"/>
  <c r="NC17" i="6"/>
  <c r="NB17" i="6"/>
  <c r="NA17" i="6"/>
  <c r="MZ17" i="6"/>
  <c r="MY17" i="6"/>
  <c r="MX17" i="6"/>
  <c r="MW17" i="6"/>
  <c r="MV17" i="6"/>
  <c r="MU17" i="6"/>
  <c r="MT17" i="6"/>
  <c r="MS17" i="6"/>
  <c r="MR17" i="6"/>
  <c r="MQ17" i="6"/>
  <c r="MP17" i="6"/>
  <c r="MO17" i="6"/>
  <c r="MN17" i="6"/>
  <c r="MM17" i="6"/>
  <c r="ML17" i="6"/>
  <c r="MK17" i="6"/>
  <c r="MJ17" i="6"/>
  <c r="MI17" i="6"/>
  <c r="MH17" i="6"/>
  <c r="MG17" i="6"/>
  <c r="MF17" i="6"/>
  <c r="ME17" i="6"/>
  <c r="MD17" i="6"/>
  <c r="MC17" i="6"/>
  <c r="MB17" i="6"/>
  <c r="MA17" i="6"/>
  <c r="LZ17" i="6"/>
  <c r="LY17" i="6"/>
  <c r="LX17" i="6"/>
  <c r="LW17" i="6"/>
  <c r="LV17" i="6"/>
  <c r="LU17" i="6"/>
  <c r="LT17" i="6"/>
  <c r="LS17" i="6"/>
  <c r="LR17" i="6"/>
  <c r="LQ17" i="6"/>
  <c r="LP17" i="6"/>
  <c r="LO17" i="6"/>
  <c r="LN17" i="6"/>
  <c r="LM17" i="6"/>
  <c r="LL17" i="6"/>
  <c r="LK17" i="6"/>
  <c r="LJ17" i="6"/>
  <c r="LI17" i="6"/>
  <c r="LH17" i="6"/>
  <c r="LG17" i="6"/>
  <c r="LF17" i="6"/>
  <c r="LE17" i="6"/>
  <c r="LD17" i="6"/>
  <c r="LC17" i="6"/>
  <c r="LB17" i="6"/>
  <c r="LA17" i="6"/>
  <c r="KZ17" i="6"/>
  <c r="KY17" i="6"/>
  <c r="KX17" i="6"/>
  <c r="KW17" i="6"/>
  <c r="KV17" i="6"/>
  <c r="KU17" i="6"/>
  <c r="KT17" i="6"/>
  <c r="KS17" i="6"/>
  <c r="KR17" i="6"/>
  <c r="KQ17" i="6"/>
  <c r="KP17" i="6"/>
  <c r="KO17" i="6"/>
  <c r="KN17" i="6"/>
  <c r="KM17" i="6"/>
  <c r="KL17" i="6"/>
  <c r="KK17" i="6"/>
  <c r="KJ17" i="6"/>
  <c r="KI17" i="6"/>
  <c r="KH17" i="6"/>
  <c r="KG17" i="6"/>
  <c r="KF17" i="6"/>
  <c r="KE17" i="6"/>
  <c r="KD17" i="6"/>
  <c r="KC17" i="6"/>
  <c r="KB17" i="6"/>
  <c r="KA17" i="6"/>
  <c r="JZ17" i="6"/>
  <c r="JY17" i="6"/>
  <c r="JX17" i="6"/>
  <c r="JW17" i="6"/>
  <c r="JV17" i="6"/>
  <c r="JU17" i="6"/>
  <c r="JT17" i="6"/>
  <c r="JS17" i="6"/>
  <c r="JR17" i="6"/>
  <c r="JQ17" i="6"/>
  <c r="JP17" i="6"/>
  <c r="JO17" i="6"/>
  <c r="JN17" i="6"/>
  <c r="JM17" i="6"/>
  <c r="JL17" i="6"/>
  <c r="JK17" i="6"/>
  <c r="JJ17" i="6"/>
  <c r="JI17" i="6"/>
  <c r="JH17" i="6"/>
  <c r="JG17" i="6"/>
  <c r="JF17" i="6"/>
  <c r="JE17" i="6"/>
  <c r="JD17" i="6"/>
  <c r="JC17" i="6"/>
  <c r="JB17" i="6"/>
  <c r="JA17" i="6"/>
  <c r="IZ17" i="6"/>
  <c r="IY17" i="6"/>
  <c r="IX17" i="6"/>
  <c r="IW17" i="6"/>
  <c r="IV17" i="6"/>
  <c r="IU17" i="6"/>
  <c r="IT17" i="6"/>
  <c r="IS17" i="6"/>
  <c r="IR17" i="6"/>
  <c r="IQ17" i="6"/>
  <c r="IP17" i="6"/>
  <c r="IO17" i="6"/>
  <c r="IN17" i="6"/>
  <c r="IM17" i="6"/>
  <c r="IL17" i="6"/>
  <c r="IK17" i="6"/>
  <c r="IJ17" i="6"/>
  <c r="II17" i="6"/>
  <c r="IH17" i="6"/>
  <c r="IG17" i="6"/>
  <c r="IF17" i="6"/>
  <c r="IE17" i="6"/>
  <c r="ID17" i="6"/>
  <c r="IC17" i="6"/>
  <c r="IB17" i="6"/>
  <c r="IA17" i="6"/>
  <c r="HZ17" i="6"/>
  <c r="HY17" i="6"/>
  <c r="HX17" i="6"/>
  <c r="HW17" i="6"/>
  <c r="HV17" i="6"/>
  <c r="HU17" i="6"/>
  <c r="HT17" i="6"/>
  <c r="HS17" i="6"/>
  <c r="HR17" i="6"/>
  <c r="HQ17" i="6"/>
  <c r="HP17" i="6"/>
  <c r="HO17" i="6"/>
  <c r="HN17" i="6"/>
  <c r="HM17" i="6"/>
  <c r="HL17" i="6"/>
  <c r="HK17" i="6"/>
  <c r="HJ17" i="6"/>
  <c r="HI17" i="6"/>
  <c r="HH17" i="6"/>
  <c r="HG17" i="6"/>
  <c r="HF17" i="6"/>
  <c r="HE17" i="6"/>
  <c r="HD17" i="6"/>
  <c r="HC17" i="6"/>
  <c r="HB17" i="6"/>
  <c r="HA17" i="6"/>
  <c r="GZ17" i="6"/>
  <c r="GY17" i="6"/>
  <c r="GX17" i="6"/>
  <c r="GW17" i="6"/>
  <c r="GV17" i="6"/>
  <c r="GU17" i="6"/>
  <c r="GT17" i="6"/>
  <c r="GS17" i="6"/>
  <c r="GR17" i="6"/>
  <c r="GQ17" i="6"/>
  <c r="GP17" i="6"/>
  <c r="GO17" i="6"/>
  <c r="GN17" i="6"/>
  <c r="GM17" i="6"/>
  <c r="GL17" i="6"/>
  <c r="GK17" i="6"/>
  <c r="GJ17" i="6"/>
  <c r="GI17" i="6"/>
  <c r="GH17" i="6"/>
  <c r="GG17" i="6"/>
  <c r="GF17" i="6"/>
  <c r="GE17" i="6"/>
  <c r="GD17" i="6"/>
  <c r="GC17" i="6"/>
  <c r="GB17" i="6"/>
  <c r="GA17" i="6"/>
  <c r="FZ17" i="6"/>
  <c r="FY17" i="6"/>
  <c r="FX17" i="6"/>
  <c r="FW17" i="6"/>
  <c r="FV17" i="6"/>
  <c r="FU17" i="6"/>
  <c r="FT17" i="6"/>
  <c r="FS17" i="6"/>
  <c r="FR17" i="6"/>
  <c r="FQ17" i="6"/>
  <c r="FP17" i="6"/>
  <c r="FO17" i="6"/>
  <c r="FN17" i="6"/>
  <c r="FM17" i="6"/>
  <c r="FL17" i="6"/>
  <c r="FK17" i="6"/>
  <c r="FJ17" i="6"/>
  <c r="FI17" i="6"/>
  <c r="FH17" i="6"/>
  <c r="FG17" i="6"/>
  <c r="FF17" i="6"/>
  <c r="FE17" i="6"/>
  <c r="FD17" i="6"/>
  <c r="FC17" i="6"/>
  <c r="FB17" i="6"/>
  <c r="FA17" i="6"/>
  <c r="EZ17" i="6"/>
  <c r="EY17" i="6"/>
  <c r="EX17" i="6"/>
  <c r="EW17" i="6"/>
  <c r="EV17" i="6"/>
  <c r="EU17" i="6"/>
  <c r="ET17" i="6"/>
  <c r="ES17" i="6"/>
  <c r="ER17" i="6"/>
  <c r="EQ17" i="6"/>
  <c r="EP17" i="6"/>
  <c r="EO17" i="6"/>
  <c r="EN17" i="6"/>
  <c r="EM17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SG16" i="6"/>
  <c r="SF16" i="6"/>
  <c r="SE16" i="6"/>
  <c r="SD16" i="6"/>
  <c r="SC16" i="6"/>
  <c r="SB16" i="6"/>
  <c r="SA16" i="6"/>
  <c r="RZ16" i="6"/>
  <c r="RY16" i="6"/>
  <c r="RX16" i="6"/>
  <c r="RW16" i="6"/>
  <c r="RV16" i="6"/>
  <c r="RU16" i="6"/>
  <c r="RT16" i="6"/>
  <c r="RS16" i="6"/>
  <c r="RR16" i="6"/>
  <c r="RQ16" i="6"/>
  <c r="RP16" i="6"/>
  <c r="RO16" i="6"/>
  <c r="RN16" i="6"/>
  <c r="RM16" i="6"/>
  <c r="RL16" i="6"/>
  <c r="RK16" i="6"/>
  <c r="RJ16" i="6"/>
  <c r="RI16" i="6"/>
  <c r="RH16" i="6"/>
  <c r="RG16" i="6"/>
  <c r="RF16" i="6"/>
  <c r="RE16" i="6"/>
  <c r="RD16" i="6"/>
  <c r="RC16" i="6"/>
  <c r="RB16" i="6"/>
  <c r="RA16" i="6"/>
  <c r="QZ16" i="6"/>
  <c r="QY16" i="6"/>
  <c r="QX16" i="6"/>
  <c r="QW16" i="6"/>
  <c r="QV16" i="6"/>
  <c r="QU16" i="6"/>
  <c r="QT16" i="6"/>
  <c r="QS16" i="6"/>
  <c r="QR16" i="6"/>
  <c r="QQ16" i="6"/>
  <c r="QP16" i="6"/>
  <c r="QO16" i="6"/>
  <c r="QN16" i="6"/>
  <c r="QM16" i="6"/>
  <c r="QL16" i="6"/>
  <c r="QK16" i="6"/>
  <c r="QJ16" i="6"/>
  <c r="QI16" i="6"/>
  <c r="QH16" i="6"/>
  <c r="QG16" i="6"/>
  <c r="QF16" i="6"/>
  <c r="QE16" i="6"/>
  <c r="QD16" i="6"/>
  <c r="QC16" i="6"/>
  <c r="QB16" i="6"/>
  <c r="QA16" i="6"/>
  <c r="PZ16" i="6"/>
  <c r="PY16" i="6"/>
  <c r="PX16" i="6"/>
  <c r="PW16" i="6"/>
  <c r="PV16" i="6"/>
  <c r="PU16" i="6"/>
  <c r="PT16" i="6"/>
  <c r="PS16" i="6"/>
  <c r="PR16" i="6"/>
  <c r="PQ16" i="6"/>
  <c r="PP16" i="6"/>
  <c r="PO16" i="6"/>
  <c r="PN16" i="6"/>
  <c r="PM16" i="6"/>
  <c r="PL16" i="6"/>
  <c r="PK16" i="6"/>
  <c r="PJ16" i="6"/>
  <c r="PI16" i="6"/>
  <c r="PH16" i="6"/>
  <c r="PG16" i="6"/>
  <c r="PF16" i="6"/>
  <c r="PE16" i="6"/>
  <c r="PD16" i="6"/>
  <c r="PC16" i="6"/>
  <c r="PB16" i="6"/>
  <c r="PA16" i="6"/>
  <c r="OZ16" i="6"/>
  <c r="OY16" i="6"/>
  <c r="OX16" i="6"/>
  <c r="OW16" i="6"/>
  <c r="OV16" i="6"/>
  <c r="OU16" i="6"/>
  <c r="OT16" i="6"/>
  <c r="OS16" i="6"/>
  <c r="OR16" i="6"/>
  <c r="OQ16" i="6"/>
  <c r="OP16" i="6"/>
  <c r="OO16" i="6"/>
  <c r="ON16" i="6"/>
  <c r="OM16" i="6"/>
  <c r="OL16" i="6"/>
  <c r="OK16" i="6"/>
  <c r="OJ16" i="6"/>
  <c r="OI16" i="6"/>
  <c r="OH16" i="6"/>
  <c r="OG16" i="6"/>
  <c r="OF16" i="6"/>
  <c r="OE16" i="6"/>
  <c r="OD16" i="6"/>
  <c r="OC16" i="6"/>
  <c r="OB16" i="6"/>
  <c r="OA16" i="6"/>
  <c r="NZ16" i="6"/>
  <c r="NY16" i="6"/>
  <c r="NX16" i="6"/>
  <c r="NW16" i="6"/>
  <c r="NV16" i="6"/>
  <c r="NU16" i="6"/>
  <c r="NT16" i="6"/>
  <c r="NS16" i="6"/>
  <c r="NR16" i="6"/>
  <c r="NQ16" i="6"/>
  <c r="NP16" i="6"/>
  <c r="NO16" i="6"/>
  <c r="NN16" i="6"/>
  <c r="NM16" i="6"/>
  <c r="NL16" i="6"/>
  <c r="NK16" i="6"/>
  <c r="NJ16" i="6"/>
  <c r="NI16" i="6"/>
  <c r="NH16" i="6"/>
  <c r="NG16" i="6"/>
  <c r="NF16" i="6"/>
  <c r="NE16" i="6"/>
  <c r="ND16" i="6"/>
  <c r="NC16" i="6"/>
  <c r="NB16" i="6"/>
  <c r="NA16" i="6"/>
  <c r="MZ16" i="6"/>
  <c r="MY16" i="6"/>
  <c r="MX16" i="6"/>
  <c r="MW16" i="6"/>
  <c r="MV16" i="6"/>
  <c r="MU16" i="6"/>
  <c r="MT16" i="6"/>
  <c r="MS16" i="6"/>
  <c r="MR16" i="6"/>
  <c r="MQ16" i="6"/>
  <c r="MP16" i="6"/>
  <c r="MO16" i="6"/>
  <c r="MN16" i="6"/>
  <c r="MM16" i="6"/>
  <c r="ML16" i="6"/>
  <c r="MK16" i="6"/>
  <c r="MJ16" i="6"/>
  <c r="MI16" i="6"/>
  <c r="MH16" i="6"/>
  <c r="MG16" i="6"/>
  <c r="MF16" i="6"/>
  <c r="ME16" i="6"/>
  <c r="MD16" i="6"/>
  <c r="MC16" i="6"/>
  <c r="MB16" i="6"/>
  <c r="MA16" i="6"/>
  <c r="LZ16" i="6"/>
  <c r="LY16" i="6"/>
  <c r="LX16" i="6"/>
  <c r="LW16" i="6"/>
  <c r="LV16" i="6"/>
  <c r="LU16" i="6"/>
  <c r="LT16" i="6"/>
  <c r="LS16" i="6"/>
  <c r="LR16" i="6"/>
  <c r="LQ16" i="6"/>
  <c r="LP16" i="6"/>
  <c r="LO16" i="6"/>
  <c r="LN16" i="6"/>
  <c r="LM16" i="6"/>
  <c r="LL16" i="6"/>
  <c r="LK16" i="6"/>
  <c r="LJ16" i="6"/>
  <c r="LI16" i="6"/>
  <c r="LH16" i="6"/>
  <c r="LG16" i="6"/>
  <c r="LF16" i="6"/>
  <c r="LE16" i="6"/>
  <c r="LD16" i="6"/>
  <c r="LC16" i="6"/>
  <c r="LB16" i="6"/>
  <c r="LA16" i="6"/>
  <c r="KZ16" i="6"/>
  <c r="KY16" i="6"/>
  <c r="KX16" i="6"/>
  <c r="KW16" i="6"/>
  <c r="KV16" i="6"/>
  <c r="KU16" i="6"/>
  <c r="KT16" i="6"/>
  <c r="KS16" i="6"/>
  <c r="KR16" i="6"/>
  <c r="KQ16" i="6"/>
  <c r="KP16" i="6"/>
  <c r="KO16" i="6"/>
  <c r="KN16" i="6"/>
  <c r="KM16" i="6"/>
  <c r="KL16" i="6"/>
  <c r="KK16" i="6"/>
  <c r="KJ16" i="6"/>
  <c r="KI16" i="6"/>
  <c r="KH16" i="6"/>
  <c r="KG16" i="6"/>
  <c r="KF16" i="6"/>
  <c r="KE16" i="6"/>
  <c r="KD16" i="6"/>
  <c r="KC16" i="6"/>
  <c r="KB16" i="6"/>
  <c r="KA16" i="6"/>
  <c r="JZ16" i="6"/>
  <c r="JY16" i="6"/>
  <c r="JX16" i="6"/>
  <c r="JW16" i="6"/>
  <c r="JV16" i="6"/>
  <c r="JU16" i="6"/>
  <c r="JT16" i="6"/>
  <c r="JS16" i="6"/>
  <c r="JR16" i="6"/>
  <c r="JQ16" i="6"/>
  <c r="JP16" i="6"/>
  <c r="JO16" i="6"/>
  <c r="JN16" i="6"/>
  <c r="JM16" i="6"/>
  <c r="JL16" i="6"/>
  <c r="JK16" i="6"/>
  <c r="JJ16" i="6"/>
  <c r="JI16" i="6"/>
  <c r="JH16" i="6"/>
  <c r="JG16" i="6"/>
  <c r="JF16" i="6"/>
  <c r="JE16" i="6"/>
  <c r="JD16" i="6"/>
  <c r="JC16" i="6"/>
  <c r="JB16" i="6"/>
  <c r="JA16" i="6"/>
  <c r="IZ16" i="6"/>
  <c r="IY16" i="6"/>
  <c r="IX16" i="6"/>
  <c r="IW16" i="6"/>
  <c r="IV16" i="6"/>
  <c r="IU16" i="6"/>
  <c r="IT16" i="6"/>
  <c r="IS16" i="6"/>
  <c r="IR16" i="6"/>
  <c r="IQ16" i="6"/>
  <c r="IP16" i="6"/>
  <c r="IO16" i="6"/>
  <c r="IN16" i="6"/>
  <c r="IM16" i="6"/>
  <c r="IL16" i="6"/>
  <c r="IK16" i="6"/>
  <c r="IJ16" i="6"/>
  <c r="II16" i="6"/>
  <c r="IH16" i="6"/>
  <c r="IG16" i="6"/>
  <c r="IF16" i="6"/>
  <c r="IE16" i="6"/>
  <c r="ID16" i="6"/>
  <c r="IC16" i="6"/>
  <c r="IB16" i="6"/>
  <c r="IA16" i="6"/>
  <c r="HZ16" i="6"/>
  <c r="HY16" i="6"/>
  <c r="HX16" i="6"/>
  <c r="HW16" i="6"/>
  <c r="HV16" i="6"/>
  <c r="HU16" i="6"/>
  <c r="HT16" i="6"/>
  <c r="HS16" i="6"/>
  <c r="HR16" i="6"/>
  <c r="HQ16" i="6"/>
  <c r="HP16" i="6"/>
  <c r="HO16" i="6"/>
  <c r="HN16" i="6"/>
  <c r="HM16" i="6"/>
  <c r="HL16" i="6"/>
  <c r="HK16" i="6"/>
  <c r="HJ16" i="6"/>
  <c r="HI16" i="6"/>
  <c r="HH16" i="6"/>
  <c r="HG16" i="6"/>
  <c r="HF16" i="6"/>
  <c r="HE16" i="6"/>
  <c r="HD16" i="6"/>
  <c r="HC16" i="6"/>
  <c r="HB16" i="6"/>
  <c r="HA16" i="6"/>
  <c r="GZ16" i="6"/>
  <c r="GY16" i="6"/>
  <c r="GX16" i="6"/>
  <c r="GW16" i="6"/>
  <c r="GV16" i="6"/>
  <c r="GU16" i="6"/>
  <c r="GT16" i="6"/>
  <c r="GS16" i="6"/>
  <c r="GR16" i="6"/>
  <c r="GQ16" i="6"/>
  <c r="GP16" i="6"/>
  <c r="GO16" i="6"/>
  <c r="GN16" i="6"/>
  <c r="GM16" i="6"/>
  <c r="GL16" i="6"/>
  <c r="GK16" i="6"/>
  <c r="GJ16" i="6"/>
  <c r="GI16" i="6"/>
  <c r="GH16" i="6"/>
  <c r="GG16" i="6"/>
  <c r="GF16" i="6"/>
  <c r="GE16" i="6"/>
  <c r="GD16" i="6"/>
  <c r="GC16" i="6"/>
  <c r="GB16" i="6"/>
  <c r="GA16" i="6"/>
  <c r="FZ16" i="6"/>
  <c r="FY16" i="6"/>
  <c r="FX16" i="6"/>
  <c r="FW16" i="6"/>
  <c r="FV16" i="6"/>
  <c r="FU16" i="6"/>
  <c r="FT16" i="6"/>
  <c r="FS16" i="6"/>
  <c r="FR16" i="6"/>
  <c r="FQ16" i="6"/>
  <c r="FP16" i="6"/>
  <c r="FO16" i="6"/>
  <c r="FN16" i="6"/>
  <c r="FM16" i="6"/>
  <c r="FL16" i="6"/>
  <c r="FK16" i="6"/>
  <c r="FJ16" i="6"/>
  <c r="FI16" i="6"/>
  <c r="FH16" i="6"/>
  <c r="FG16" i="6"/>
  <c r="FF16" i="6"/>
  <c r="FE16" i="6"/>
  <c r="FD16" i="6"/>
  <c r="FC16" i="6"/>
  <c r="FB16" i="6"/>
  <c r="FA16" i="6"/>
  <c r="EZ16" i="6"/>
  <c r="EY16" i="6"/>
  <c r="EX16" i="6"/>
  <c r="EW16" i="6"/>
  <c r="EV16" i="6"/>
  <c r="EU16" i="6"/>
  <c r="ET16" i="6"/>
  <c r="ES16" i="6"/>
  <c r="ER16" i="6"/>
  <c r="EQ16" i="6"/>
  <c r="EP16" i="6"/>
  <c r="EO16" i="6"/>
  <c r="EN16" i="6"/>
  <c r="EM16" i="6"/>
  <c r="EL16" i="6"/>
  <c r="EK16" i="6"/>
  <c r="EJ16" i="6"/>
  <c r="EI16" i="6"/>
  <c r="EH16" i="6"/>
  <c r="EG16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SG15" i="6"/>
  <c r="SF15" i="6"/>
  <c r="SE15" i="6"/>
  <c r="SD15" i="6"/>
  <c r="SC15" i="6"/>
  <c r="SB15" i="6"/>
  <c r="SA15" i="6"/>
  <c r="RZ15" i="6"/>
  <c r="RY15" i="6"/>
  <c r="RX15" i="6"/>
  <c r="RW15" i="6"/>
  <c r="RV15" i="6"/>
  <c r="RU15" i="6"/>
  <c r="RT15" i="6"/>
  <c r="RS15" i="6"/>
  <c r="RR15" i="6"/>
  <c r="RQ15" i="6"/>
  <c r="RP15" i="6"/>
  <c r="RO15" i="6"/>
  <c r="RN15" i="6"/>
  <c r="RM15" i="6"/>
  <c r="RL15" i="6"/>
  <c r="RK15" i="6"/>
  <c r="RJ15" i="6"/>
  <c r="RI15" i="6"/>
  <c r="RH15" i="6"/>
  <c r="RG15" i="6"/>
  <c r="RF15" i="6"/>
  <c r="RE15" i="6"/>
  <c r="RD15" i="6"/>
  <c r="RC15" i="6"/>
  <c r="RB15" i="6"/>
  <c r="RA15" i="6"/>
  <c r="QZ15" i="6"/>
  <c r="QY15" i="6"/>
  <c r="QX15" i="6"/>
  <c r="QW15" i="6"/>
  <c r="QV15" i="6"/>
  <c r="QU15" i="6"/>
  <c r="QT15" i="6"/>
  <c r="QS15" i="6"/>
  <c r="QR15" i="6"/>
  <c r="QQ15" i="6"/>
  <c r="QP15" i="6"/>
  <c r="QO15" i="6"/>
  <c r="QN15" i="6"/>
  <c r="QM15" i="6"/>
  <c r="QL15" i="6"/>
  <c r="QK15" i="6"/>
  <c r="QJ15" i="6"/>
  <c r="QI15" i="6"/>
  <c r="QH15" i="6"/>
  <c r="QG15" i="6"/>
  <c r="QF15" i="6"/>
  <c r="QE15" i="6"/>
  <c r="QD15" i="6"/>
  <c r="QC15" i="6"/>
  <c r="QB15" i="6"/>
  <c r="QA15" i="6"/>
  <c r="PZ15" i="6"/>
  <c r="PY15" i="6"/>
  <c r="PX15" i="6"/>
  <c r="PW15" i="6"/>
  <c r="PV15" i="6"/>
  <c r="PU15" i="6"/>
  <c r="PT15" i="6"/>
  <c r="PS15" i="6"/>
  <c r="PR15" i="6"/>
  <c r="PQ15" i="6"/>
  <c r="PP15" i="6"/>
  <c r="PO15" i="6"/>
  <c r="PN15" i="6"/>
  <c r="PM15" i="6"/>
  <c r="PL15" i="6"/>
  <c r="PK15" i="6"/>
  <c r="PJ15" i="6"/>
  <c r="PI15" i="6"/>
  <c r="PH15" i="6"/>
  <c r="PG15" i="6"/>
  <c r="PF15" i="6"/>
  <c r="PE15" i="6"/>
  <c r="PD15" i="6"/>
  <c r="PC15" i="6"/>
  <c r="PB15" i="6"/>
  <c r="PA15" i="6"/>
  <c r="OZ15" i="6"/>
  <c r="OY15" i="6"/>
  <c r="OX15" i="6"/>
  <c r="OW15" i="6"/>
  <c r="OV15" i="6"/>
  <c r="OU15" i="6"/>
  <c r="OT15" i="6"/>
  <c r="OS15" i="6"/>
  <c r="OR15" i="6"/>
  <c r="OQ15" i="6"/>
  <c r="OP15" i="6"/>
  <c r="OO15" i="6"/>
  <c r="ON15" i="6"/>
  <c r="OM15" i="6"/>
  <c r="OL15" i="6"/>
  <c r="OK15" i="6"/>
  <c r="OJ15" i="6"/>
  <c r="OI15" i="6"/>
  <c r="OH15" i="6"/>
  <c r="OG15" i="6"/>
  <c r="OF15" i="6"/>
  <c r="OE15" i="6"/>
  <c r="OD15" i="6"/>
  <c r="OC15" i="6"/>
  <c r="OB15" i="6"/>
  <c r="OA15" i="6"/>
  <c r="NZ15" i="6"/>
  <c r="NY15" i="6"/>
  <c r="NX15" i="6"/>
  <c r="NW15" i="6"/>
  <c r="NV15" i="6"/>
  <c r="NU15" i="6"/>
  <c r="NT15" i="6"/>
  <c r="NS15" i="6"/>
  <c r="NR15" i="6"/>
  <c r="NQ15" i="6"/>
  <c r="NP15" i="6"/>
  <c r="NO15" i="6"/>
  <c r="NN15" i="6"/>
  <c r="NM15" i="6"/>
  <c r="NL15" i="6"/>
  <c r="NK15" i="6"/>
  <c r="NJ15" i="6"/>
  <c r="NI15" i="6"/>
  <c r="NH15" i="6"/>
  <c r="NG15" i="6"/>
  <c r="NF15" i="6"/>
  <c r="NE15" i="6"/>
  <c r="ND15" i="6"/>
  <c r="NC15" i="6"/>
  <c r="NB15" i="6"/>
  <c r="NA15" i="6"/>
  <c r="MZ15" i="6"/>
  <c r="MY15" i="6"/>
  <c r="MX15" i="6"/>
  <c r="MW15" i="6"/>
  <c r="MV15" i="6"/>
  <c r="MU15" i="6"/>
  <c r="MT15" i="6"/>
  <c r="MS15" i="6"/>
  <c r="MR15" i="6"/>
  <c r="MQ15" i="6"/>
  <c r="MP15" i="6"/>
  <c r="MO15" i="6"/>
  <c r="MN15" i="6"/>
  <c r="MM15" i="6"/>
  <c r="ML15" i="6"/>
  <c r="MK15" i="6"/>
  <c r="MJ15" i="6"/>
  <c r="MI15" i="6"/>
  <c r="MH15" i="6"/>
  <c r="MG15" i="6"/>
  <c r="MF15" i="6"/>
  <c r="ME15" i="6"/>
  <c r="MD15" i="6"/>
  <c r="MC15" i="6"/>
  <c r="MB15" i="6"/>
  <c r="MA15" i="6"/>
  <c r="LZ15" i="6"/>
  <c r="LY15" i="6"/>
  <c r="LX15" i="6"/>
  <c r="LW15" i="6"/>
  <c r="LV15" i="6"/>
  <c r="LU15" i="6"/>
  <c r="LT15" i="6"/>
  <c r="LS15" i="6"/>
  <c r="LR15" i="6"/>
  <c r="LQ15" i="6"/>
  <c r="LP15" i="6"/>
  <c r="LO15" i="6"/>
  <c r="LN15" i="6"/>
  <c r="LM15" i="6"/>
  <c r="LL15" i="6"/>
  <c r="LK15" i="6"/>
  <c r="LJ15" i="6"/>
  <c r="LI15" i="6"/>
  <c r="LH15" i="6"/>
  <c r="LG15" i="6"/>
  <c r="LF15" i="6"/>
  <c r="LE15" i="6"/>
  <c r="LD15" i="6"/>
  <c r="LC15" i="6"/>
  <c r="LB15" i="6"/>
  <c r="LA15" i="6"/>
  <c r="KZ15" i="6"/>
  <c r="KY15" i="6"/>
  <c r="KX15" i="6"/>
  <c r="KW15" i="6"/>
  <c r="KV15" i="6"/>
  <c r="KU15" i="6"/>
  <c r="KT15" i="6"/>
  <c r="KS15" i="6"/>
  <c r="KR15" i="6"/>
  <c r="KQ15" i="6"/>
  <c r="KP15" i="6"/>
  <c r="KO15" i="6"/>
  <c r="KN15" i="6"/>
  <c r="KM15" i="6"/>
  <c r="KL15" i="6"/>
  <c r="KK15" i="6"/>
  <c r="KJ15" i="6"/>
  <c r="KI15" i="6"/>
  <c r="KH15" i="6"/>
  <c r="KG15" i="6"/>
  <c r="KF15" i="6"/>
  <c r="KE15" i="6"/>
  <c r="KD15" i="6"/>
  <c r="KC15" i="6"/>
  <c r="KB15" i="6"/>
  <c r="KA15" i="6"/>
  <c r="JZ15" i="6"/>
  <c r="JY15" i="6"/>
  <c r="JX15" i="6"/>
  <c r="JW15" i="6"/>
  <c r="JV15" i="6"/>
  <c r="JU15" i="6"/>
  <c r="JT15" i="6"/>
  <c r="JS15" i="6"/>
  <c r="JR15" i="6"/>
  <c r="JQ15" i="6"/>
  <c r="JP15" i="6"/>
  <c r="JO15" i="6"/>
  <c r="JN15" i="6"/>
  <c r="JM15" i="6"/>
  <c r="JL15" i="6"/>
  <c r="JK15" i="6"/>
  <c r="JJ15" i="6"/>
  <c r="JI15" i="6"/>
  <c r="JH15" i="6"/>
  <c r="JG15" i="6"/>
  <c r="JF15" i="6"/>
  <c r="JE15" i="6"/>
  <c r="JD15" i="6"/>
  <c r="JC15" i="6"/>
  <c r="JB15" i="6"/>
  <c r="JA15" i="6"/>
  <c r="IZ15" i="6"/>
  <c r="IY15" i="6"/>
  <c r="IX15" i="6"/>
  <c r="IW15" i="6"/>
  <c r="IV15" i="6"/>
  <c r="IU15" i="6"/>
  <c r="IT15" i="6"/>
  <c r="IS15" i="6"/>
  <c r="IR15" i="6"/>
  <c r="IQ15" i="6"/>
  <c r="IP15" i="6"/>
  <c r="IO15" i="6"/>
  <c r="IN15" i="6"/>
  <c r="IM15" i="6"/>
  <c r="IL15" i="6"/>
  <c r="IK15" i="6"/>
  <c r="IJ15" i="6"/>
  <c r="II15" i="6"/>
  <c r="IH15" i="6"/>
  <c r="IG15" i="6"/>
  <c r="IF15" i="6"/>
  <c r="IE15" i="6"/>
  <c r="ID15" i="6"/>
  <c r="IC15" i="6"/>
  <c r="IB15" i="6"/>
  <c r="IA15" i="6"/>
  <c r="HZ15" i="6"/>
  <c r="HY15" i="6"/>
  <c r="HX15" i="6"/>
  <c r="HW15" i="6"/>
  <c r="HV15" i="6"/>
  <c r="HU15" i="6"/>
  <c r="HT15" i="6"/>
  <c r="HS15" i="6"/>
  <c r="HR15" i="6"/>
  <c r="HQ15" i="6"/>
  <c r="HP15" i="6"/>
  <c r="HO15" i="6"/>
  <c r="HN15" i="6"/>
  <c r="HM15" i="6"/>
  <c r="HL15" i="6"/>
  <c r="HK15" i="6"/>
  <c r="HJ15" i="6"/>
  <c r="HI15" i="6"/>
  <c r="HH15" i="6"/>
  <c r="HG15" i="6"/>
  <c r="HF15" i="6"/>
  <c r="HE15" i="6"/>
  <c r="HD15" i="6"/>
  <c r="HC15" i="6"/>
  <c r="HB15" i="6"/>
  <c r="HA15" i="6"/>
  <c r="GZ15" i="6"/>
  <c r="GY15" i="6"/>
  <c r="GX15" i="6"/>
  <c r="GW15" i="6"/>
  <c r="GV15" i="6"/>
  <c r="GU15" i="6"/>
  <c r="GT15" i="6"/>
  <c r="GS15" i="6"/>
  <c r="GR15" i="6"/>
  <c r="GQ15" i="6"/>
  <c r="GP15" i="6"/>
  <c r="GO15" i="6"/>
  <c r="GN15" i="6"/>
  <c r="GM15" i="6"/>
  <c r="GL15" i="6"/>
  <c r="GK15" i="6"/>
  <c r="GJ15" i="6"/>
  <c r="GI15" i="6"/>
  <c r="GH15" i="6"/>
  <c r="GG15" i="6"/>
  <c r="GF15" i="6"/>
  <c r="GE15" i="6"/>
  <c r="GD15" i="6"/>
  <c r="GC15" i="6"/>
  <c r="GB15" i="6"/>
  <c r="GA15" i="6"/>
  <c r="FZ15" i="6"/>
  <c r="FY15" i="6"/>
  <c r="FX15" i="6"/>
  <c r="FW15" i="6"/>
  <c r="FV15" i="6"/>
  <c r="FU15" i="6"/>
  <c r="FT15" i="6"/>
  <c r="FS15" i="6"/>
  <c r="FR15" i="6"/>
  <c r="FQ15" i="6"/>
  <c r="FP15" i="6"/>
  <c r="FO15" i="6"/>
  <c r="FN15" i="6"/>
  <c r="FM15" i="6"/>
  <c r="FL15" i="6"/>
  <c r="FK15" i="6"/>
  <c r="FJ15" i="6"/>
  <c r="FI15" i="6"/>
  <c r="FH15" i="6"/>
  <c r="FG15" i="6"/>
  <c r="FF15" i="6"/>
  <c r="FE15" i="6"/>
  <c r="FD15" i="6"/>
  <c r="FC15" i="6"/>
  <c r="FB15" i="6"/>
  <c r="FA15" i="6"/>
  <c r="EZ15" i="6"/>
  <c r="EY15" i="6"/>
  <c r="EX15" i="6"/>
  <c r="EW15" i="6"/>
  <c r="EV15" i="6"/>
  <c r="EU15" i="6"/>
  <c r="ET15" i="6"/>
  <c r="ES15" i="6"/>
  <c r="ER15" i="6"/>
  <c r="EQ15" i="6"/>
  <c r="EP15" i="6"/>
  <c r="EO15" i="6"/>
  <c r="EN15" i="6"/>
  <c r="EM15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6" i="6"/>
  <c r="B17" i="6"/>
  <c r="B18" i="6"/>
  <c r="B19" i="6"/>
  <c r="B20" i="6"/>
  <c r="B21" i="6"/>
  <c r="B22" i="6"/>
  <c r="B23" i="6"/>
  <c r="B15" i="6"/>
  <c r="SG23" i="5"/>
  <c r="SF23" i="5"/>
  <c r="SE23" i="5"/>
  <c r="SD23" i="5"/>
  <c r="SC23" i="5"/>
  <c r="SB23" i="5"/>
  <c r="SA23" i="5"/>
  <c r="RZ23" i="5"/>
  <c r="RY23" i="5"/>
  <c r="RX23" i="5"/>
  <c r="RW23" i="5"/>
  <c r="RV23" i="5"/>
  <c r="RU23" i="5"/>
  <c r="RT23" i="5"/>
  <c r="RS23" i="5"/>
  <c r="RR23" i="5"/>
  <c r="RQ23" i="5"/>
  <c r="RP23" i="5"/>
  <c r="RO23" i="5"/>
  <c r="RN23" i="5"/>
  <c r="RM23" i="5"/>
  <c r="RL23" i="5"/>
  <c r="RK23" i="5"/>
  <c r="RJ23" i="5"/>
  <c r="RI23" i="5"/>
  <c r="RH23" i="5"/>
  <c r="RG23" i="5"/>
  <c r="RF23" i="5"/>
  <c r="RE23" i="5"/>
  <c r="RD23" i="5"/>
  <c r="RC23" i="5"/>
  <c r="RB23" i="5"/>
  <c r="RA23" i="5"/>
  <c r="QZ23" i="5"/>
  <c r="QY23" i="5"/>
  <c r="QX23" i="5"/>
  <c r="QW23" i="5"/>
  <c r="QV23" i="5"/>
  <c r="QU23" i="5"/>
  <c r="QT23" i="5"/>
  <c r="QS23" i="5"/>
  <c r="QR23" i="5"/>
  <c r="QQ23" i="5"/>
  <c r="QP23" i="5"/>
  <c r="QO23" i="5"/>
  <c r="QN23" i="5"/>
  <c r="QM23" i="5"/>
  <c r="QL23" i="5"/>
  <c r="QK23" i="5"/>
  <c r="QJ23" i="5"/>
  <c r="QI23" i="5"/>
  <c r="QH23" i="5"/>
  <c r="QG23" i="5"/>
  <c r="QF23" i="5"/>
  <c r="QE23" i="5"/>
  <c r="QD23" i="5"/>
  <c r="QC23" i="5"/>
  <c r="QB23" i="5"/>
  <c r="QA23" i="5"/>
  <c r="PZ23" i="5"/>
  <c r="PY23" i="5"/>
  <c r="PX23" i="5"/>
  <c r="PW23" i="5"/>
  <c r="PV23" i="5"/>
  <c r="PU23" i="5"/>
  <c r="PT23" i="5"/>
  <c r="PS23" i="5"/>
  <c r="PR23" i="5"/>
  <c r="PQ23" i="5"/>
  <c r="PP23" i="5"/>
  <c r="PO23" i="5"/>
  <c r="PN23" i="5"/>
  <c r="PM23" i="5"/>
  <c r="PL23" i="5"/>
  <c r="PK23" i="5"/>
  <c r="PJ23" i="5"/>
  <c r="PI23" i="5"/>
  <c r="PH23" i="5"/>
  <c r="PG23" i="5"/>
  <c r="PF23" i="5"/>
  <c r="PE23" i="5"/>
  <c r="PD23" i="5"/>
  <c r="PC23" i="5"/>
  <c r="PB23" i="5"/>
  <c r="PA23" i="5"/>
  <c r="OZ23" i="5"/>
  <c r="OY23" i="5"/>
  <c r="OX23" i="5"/>
  <c r="OW23" i="5"/>
  <c r="OV23" i="5"/>
  <c r="OU23" i="5"/>
  <c r="OT23" i="5"/>
  <c r="OS23" i="5"/>
  <c r="OR23" i="5"/>
  <c r="OQ23" i="5"/>
  <c r="OP23" i="5"/>
  <c r="OO23" i="5"/>
  <c r="ON23" i="5"/>
  <c r="OM23" i="5"/>
  <c r="OL23" i="5"/>
  <c r="OK23" i="5"/>
  <c r="OJ23" i="5"/>
  <c r="OI23" i="5"/>
  <c r="OH23" i="5"/>
  <c r="OG23" i="5"/>
  <c r="OF23" i="5"/>
  <c r="OE23" i="5"/>
  <c r="OD23" i="5"/>
  <c r="OC23" i="5"/>
  <c r="OB23" i="5"/>
  <c r="OA23" i="5"/>
  <c r="NZ23" i="5"/>
  <c r="NY23" i="5"/>
  <c r="NX23" i="5"/>
  <c r="NW23" i="5"/>
  <c r="NV23" i="5"/>
  <c r="NU23" i="5"/>
  <c r="NT23" i="5"/>
  <c r="NS23" i="5"/>
  <c r="NR23" i="5"/>
  <c r="NQ23" i="5"/>
  <c r="NP23" i="5"/>
  <c r="NO23" i="5"/>
  <c r="NN23" i="5"/>
  <c r="NM23" i="5"/>
  <c r="NL23" i="5"/>
  <c r="NK23" i="5"/>
  <c r="NJ23" i="5"/>
  <c r="NI23" i="5"/>
  <c r="NH23" i="5"/>
  <c r="NG23" i="5"/>
  <c r="NF23" i="5"/>
  <c r="NE23" i="5"/>
  <c r="ND23" i="5"/>
  <c r="NC23" i="5"/>
  <c r="NB23" i="5"/>
  <c r="NA23" i="5"/>
  <c r="MZ23" i="5"/>
  <c r="MY23" i="5"/>
  <c r="MX23" i="5"/>
  <c r="MW23" i="5"/>
  <c r="MV23" i="5"/>
  <c r="MU23" i="5"/>
  <c r="MT23" i="5"/>
  <c r="MS23" i="5"/>
  <c r="MR23" i="5"/>
  <c r="MQ23" i="5"/>
  <c r="MP23" i="5"/>
  <c r="MO23" i="5"/>
  <c r="MN23" i="5"/>
  <c r="MM23" i="5"/>
  <c r="ML23" i="5"/>
  <c r="MK23" i="5"/>
  <c r="MJ23" i="5"/>
  <c r="MI23" i="5"/>
  <c r="MH23" i="5"/>
  <c r="MG23" i="5"/>
  <c r="MF23" i="5"/>
  <c r="ME23" i="5"/>
  <c r="MD23" i="5"/>
  <c r="MC23" i="5"/>
  <c r="MB23" i="5"/>
  <c r="MA23" i="5"/>
  <c r="LZ23" i="5"/>
  <c r="LY23" i="5"/>
  <c r="LX23" i="5"/>
  <c r="LW23" i="5"/>
  <c r="LV23" i="5"/>
  <c r="LU23" i="5"/>
  <c r="LT23" i="5"/>
  <c r="LS23" i="5"/>
  <c r="LR23" i="5"/>
  <c r="LQ23" i="5"/>
  <c r="LP23" i="5"/>
  <c r="LO23" i="5"/>
  <c r="LN23" i="5"/>
  <c r="LM23" i="5"/>
  <c r="LL23" i="5"/>
  <c r="LK23" i="5"/>
  <c r="LJ23" i="5"/>
  <c r="LI23" i="5"/>
  <c r="LH23" i="5"/>
  <c r="LG23" i="5"/>
  <c r="LF23" i="5"/>
  <c r="LE23" i="5"/>
  <c r="LD23" i="5"/>
  <c r="LC23" i="5"/>
  <c r="LB23" i="5"/>
  <c r="LA23" i="5"/>
  <c r="KZ23" i="5"/>
  <c r="KY23" i="5"/>
  <c r="KX23" i="5"/>
  <c r="KW23" i="5"/>
  <c r="KV23" i="5"/>
  <c r="KU23" i="5"/>
  <c r="KT23" i="5"/>
  <c r="KS23" i="5"/>
  <c r="KR23" i="5"/>
  <c r="KQ23" i="5"/>
  <c r="KP23" i="5"/>
  <c r="KO23" i="5"/>
  <c r="KN23" i="5"/>
  <c r="KM23" i="5"/>
  <c r="KL23" i="5"/>
  <c r="KK23" i="5"/>
  <c r="KJ23" i="5"/>
  <c r="KI23" i="5"/>
  <c r="KH23" i="5"/>
  <c r="KG23" i="5"/>
  <c r="KF23" i="5"/>
  <c r="KE23" i="5"/>
  <c r="KD23" i="5"/>
  <c r="KC23" i="5"/>
  <c r="KB23" i="5"/>
  <c r="KA23" i="5"/>
  <c r="JZ23" i="5"/>
  <c r="JY23" i="5"/>
  <c r="JX23" i="5"/>
  <c r="JW23" i="5"/>
  <c r="JV23" i="5"/>
  <c r="JU23" i="5"/>
  <c r="JT23" i="5"/>
  <c r="JS23" i="5"/>
  <c r="JR23" i="5"/>
  <c r="JQ23" i="5"/>
  <c r="JP23" i="5"/>
  <c r="JO23" i="5"/>
  <c r="JN23" i="5"/>
  <c r="JM23" i="5"/>
  <c r="JL23" i="5"/>
  <c r="JK23" i="5"/>
  <c r="JJ23" i="5"/>
  <c r="JI23" i="5"/>
  <c r="JH23" i="5"/>
  <c r="JG23" i="5"/>
  <c r="JF23" i="5"/>
  <c r="JE23" i="5"/>
  <c r="JD23" i="5"/>
  <c r="JC23" i="5"/>
  <c r="JB23" i="5"/>
  <c r="JA23" i="5"/>
  <c r="IZ23" i="5"/>
  <c r="IY23" i="5"/>
  <c r="IX23" i="5"/>
  <c r="IW23" i="5"/>
  <c r="IV23" i="5"/>
  <c r="IU23" i="5"/>
  <c r="IT23" i="5"/>
  <c r="IS23" i="5"/>
  <c r="IR23" i="5"/>
  <c r="IQ23" i="5"/>
  <c r="IP23" i="5"/>
  <c r="IO23" i="5"/>
  <c r="IN23" i="5"/>
  <c r="IM23" i="5"/>
  <c r="IL23" i="5"/>
  <c r="IK23" i="5"/>
  <c r="IJ23" i="5"/>
  <c r="II23" i="5"/>
  <c r="IH23" i="5"/>
  <c r="IG23" i="5"/>
  <c r="IF23" i="5"/>
  <c r="IE23" i="5"/>
  <c r="ID23" i="5"/>
  <c r="IC23" i="5"/>
  <c r="IB23" i="5"/>
  <c r="IA23" i="5"/>
  <c r="HZ23" i="5"/>
  <c r="HY23" i="5"/>
  <c r="HX23" i="5"/>
  <c r="HW23" i="5"/>
  <c r="HV23" i="5"/>
  <c r="HU23" i="5"/>
  <c r="HT23" i="5"/>
  <c r="HS23" i="5"/>
  <c r="HR23" i="5"/>
  <c r="HQ23" i="5"/>
  <c r="HP23" i="5"/>
  <c r="HO23" i="5"/>
  <c r="HN23" i="5"/>
  <c r="HM23" i="5"/>
  <c r="HL23" i="5"/>
  <c r="HK23" i="5"/>
  <c r="HJ23" i="5"/>
  <c r="HI23" i="5"/>
  <c r="HH23" i="5"/>
  <c r="HG23" i="5"/>
  <c r="HF23" i="5"/>
  <c r="HE23" i="5"/>
  <c r="HD23" i="5"/>
  <c r="HC23" i="5"/>
  <c r="HB23" i="5"/>
  <c r="HA23" i="5"/>
  <c r="GZ23" i="5"/>
  <c r="GY23" i="5"/>
  <c r="GX23" i="5"/>
  <c r="GW23" i="5"/>
  <c r="GV23" i="5"/>
  <c r="GU23" i="5"/>
  <c r="GT23" i="5"/>
  <c r="GS23" i="5"/>
  <c r="GR23" i="5"/>
  <c r="GQ23" i="5"/>
  <c r="GP23" i="5"/>
  <c r="GO23" i="5"/>
  <c r="GN23" i="5"/>
  <c r="GM23" i="5"/>
  <c r="GL23" i="5"/>
  <c r="GK23" i="5"/>
  <c r="GJ23" i="5"/>
  <c r="GI23" i="5"/>
  <c r="GH23" i="5"/>
  <c r="GG23" i="5"/>
  <c r="GF23" i="5"/>
  <c r="GE23" i="5"/>
  <c r="GD23" i="5"/>
  <c r="GC23" i="5"/>
  <c r="GB23" i="5"/>
  <c r="GA23" i="5"/>
  <c r="FZ23" i="5"/>
  <c r="FY23" i="5"/>
  <c r="FX23" i="5"/>
  <c r="FW23" i="5"/>
  <c r="FV23" i="5"/>
  <c r="FU23" i="5"/>
  <c r="FT23" i="5"/>
  <c r="FS23" i="5"/>
  <c r="FR23" i="5"/>
  <c r="FQ23" i="5"/>
  <c r="FP23" i="5"/>
  <c r="FO23" i="5"/>
  <c r="FN23" i="5"/>
  <c r="FM23" i="5"/>
  <c r="FL23" i="5"/>
  <c r="FK23" i="5"/>
  <c r="FJ23" i="5"/>
  <c r="FI23" i="5"/>
  <c r="FH23" i="5"/>
  <c r="FG23" i="5"/>
  <c r="FF23" i="5"/>
  <c r="FE23" i="5"/>
  <c r="FD23" i="5"/>
  <c r="FC23" i="5"/>
  <c r="FB23" i="5"/>
  <c r="FA23" i="5"/>
  <c r="EZ23" i="5"/>
  <c r="EY23" i="5"/>
  <c r="EX23" i="5"/>
  <c r="EW23" i="5"/>
  <c r="EV23" i="5"/>
  <c r="EU23" i="5"/>
  <c r="ET23" i="5"/>
  <c r="ES23" i="5"/>
  <c r="ER23" i="5"/>
  <c r="EQ23" i="5"/>
  <c r="EP23" i="5"/>
  <c r="EO23" i="5"/>
  <c r="EN23" i="5"/>
  <c r="EM23" i="5"/>
  <c r="EL23" i="5"/>
  <c r="EK23" i="5"/>
  <c r="EJ23" i="5"/>
  <c r="EI23" i="5"/>
  <c r="EH23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SG22" i="5"/>
  <c r="SF22" i="5"/>
  <c r="SE22" i="5"/>
  <c r="SD22" i="5"/>
  <c r="SC22" i="5"/>
  <c r="SB22" i="5"/>
  <c r="SA22" i="5"/>
  <c r="RZ22" i="5"/>
  <c r="RY22" i="5"/>
  <c r="RX22" i="5"/>
  <c r="RW22" i="5"/>
  <c r="RV22" i="5"/>
  <c r="RU22" i="5"/>
  <c r="RT22" i="5"/>
  <c r="RS22" i="5"/>
  <c r="RR22" i="5"/>
  <c r="RQ22" i="5"/>
  <c r="RP22" i="5"/>
  <c r="RO22" i="5"/>
  <c r="RN22" i="5"/>
  <c r="RM22" i="5"/>
  <c r="RL22" i="5"/>
  <c r="RK22" i="5"/>
  <c r="RJ22" i="5"/>
  <c r="RI22" i="5"/>
  <c r="RH22" i="5"/>
  <c r="RG22" i="5"/>
  <c r="RF22" i="5"/>
  <c r="RE22" i="5"/>
  <c r="RD22" i="5"/>
  <c r="RC22" i="5"/>
  <c r="RB22" i="5"/>
  <c r="RA22" i="5"/>
  <c r="QZ22" i="5"/>
  <c r="QY22" i="5"/>
  <c r="QX22" i="5"/>
  <c r="QW22" i="5"/>
  <c r="QV22" i="5"/>
  <c r="QU22" i="5"/>
  <c r="QT22" i="5"/>
  <c r="QS22" i="5"/>
  <c r="QR22" i="5"/>
  <c r="QQ22" i="5"/>
  <c r="QP22" i="5"/>
  <c r="QO22" i="5"/>
  <c r="QN22" i="5"/>
  <c r="QM22" i="5"/>
  <c r="QL22" i="5"/>
  <c r="QK22" i="5"/>
  <c r="QJ22" i="5"/>
  <c r="QI22" i="5"/>
  <c r="QH22" i="5"/>
  <c r="QG22" i="5"/>
  <c r="QF22" i="5"/>
  <c r="QE22" i="5"/>
  <c r="QD22" i="5"/>
  <c r="QC22" i="5"/>
  <c r="QB22" i="5"/>
  <c r="QA22" i="5"/>
  <c r="PZ22" i="5"/>
  <c r="PY22" i="5"/>
  <c r="PX22" i="5"/>
  <c r="PW22" i="5"/>
  <c r="PV22" i="5"/>
  <c r="PU22" i="5"/>
  <c r="PT22" i="5"/>
  <c r="PS22" i="5"/>
  <c r="PR22" i="5"/>
  <c r="PQ22" i="5"/>
  <c r="PP22" i="5"/>
  <c r="PO22" i="5"/>
  <c r="PN22" i="5"/>
  <c r="PM22" i="5"/>
  <c r="PL22" i="5"/>
  <c r="PK22" i="5"/>
  <c r="PJ22" i="5"/>
  <c r="PI22" i="5"/>
  <c r="PH22" i="5"/>
  <c r="PG22" i="5"/>
  <c r="PF22" i="5"/>
  <c r="PE22" i="5"/>
  <c r="PD22" i="5"/>
  <c r="PC22" i="5"/>
  <c r="PB22" i="5"/>
  <c r="PA22" i="5"/>
  <c r="OZ22" i="5"/>
  <c r="OY22" i="5"/>
  <c r="OX22" i="5"/>
  <c r="OW22" i="5"/>
  <c r="OV22" i="5"/>
  <c r="OU22" i="5"/>
  <c r="OT22" i="5"/>
  <c r="OS22" i="5"/>
  <c r="OR22" i="5"/>
  <c r="OQ22" i="5"/>
  <c r="OP22" i="5"/>
  <c r="OO22" i="5"/>
  <c r="ON22" i="5"/>
  <c r="OM22" i="5"/>
  <c r="OL22" i="5"/>
  <c r="OK22" i="5"/>
  <c r="OJ22" i="5"/>
  <c r="OI22" i="5"/>
  <c r="OH22" i="5"/>
  <c r="OG22" i="5"/>
  <c r="OF22" i="5"/>
  <c r="OE22" i="5"/>
  <c r="OD22" i="5"/>
  <c r="OC22" i="5"/>
  <c r="OB22" i="5"/>
  <c r="OA22" i="5"/>
  <c r="NZ22" i="5"/>
  <c r="NY22" i="5"/>
  <c r="NX22" i="5"/>
  <c r="NW22" i="5"/>
  <c r="NV22" i="5"/>
  <c r="NU22" i="5"/>
  <c r="NT22" i="5"/>
  <c r="NS22" i="5"/>
  <c r="NR22" i="5"/>
  <c r="NQ22" i="5"/>
  <c r="NP22" i="5"/>
  <c r="NO22" i="5"/>
  <c r="NN22" i="5"/>
  <c r="NM22" i="5"/>
  <c r="NL22" i="5"/>
  <c r="NK22" i="5"/>
  <c r="NJ22" i="5"/>
  <c r="NI22" i="5"/>
  <c r="NH22" i="5"/>
  <c r="NG22" i="5"/>
  <c r="NF22" i="5"/>
  <c r="NE22" i="5"/>
  <c r="ND22" i="5"/>
  <c r="NC22" i="5"/>
  <c r="NB22" i="5"/>
  <c r="NA22" i="5"/>
  <c r="MZ22" i="5"/>
  <c r="MY22" i="5"/>
  <c r="MX22" i="5"/>
  <c r="MW22" i="5"/>
  <c r="MV22" i="5"/>
  <c r="MU22" i="5"/>
  <c r="MT22" i="5"/>
  <c r="MS22" i="5"/>
  <c r="MR22" i="5"/>
  <c r="MQ22" i="5"/>
  <c r="MP22" i="5"/>
  <c r="MO22" i="5"/>
  <c r="MN22" i="5"/>
  <c r="MM22" i="5"/>
  <c r="ML22" i="5"/>
  <c r="MK22" i="5"/>
  <c r="MJ22" i="5"/>
  <c r="MI22" i="5"/>
  <c r="MH22" i="5"/>
  <c r="MG22" i="5"/>
  <c r="MF22" i="5"/>
  <c r="ME22" i="5"/>
  <c r="MD22" i="5"/>
  <c r="MC22" i="5"/>
  <c r="MB22" i="5"/>
  <c r="MA22" i="5"/>
  <c r="LZ22" i="5"/>
  <c r="LY22" i="5"/>
  <c r="LX22" i="5"/>
  <c r="LW22" i="5"/>
  <c r="LV22" i="5"/>
  <c r="LU22" i="5"/>
  <c r="LT22" i="5"/>
  <c r="LS22" i="5"/>
  <c r="LR22" i="5"/>
  <c r="LQ22" i="5"/>
  <c r="LP22" i="5"/>
  <c r="LO22" i="5"/>
  <c r="LN22" i="5"/>
  <c r="LM22" i="5"/>
  <c r="LL22" i="5"/>
  <c r="LK22" i="5"/>
  <c r="LJ22" i="5"/>
  <c r="LI22" i="5"/>
  <c r="LH22" i="5"/>
  <c r="LG22" i="5"/>
  <c r="LF22" i="5"/>
  <c r="LE22" i="5"/>
  <c r="LD22" i="5"/>
  <c r="LC22" i="5"/>
  <c r="LB22" i="5"/>
  <c r="LA22" i="5"/>
  <c r="KZ22" i="5"/>
  <c r="KY22" i="5"/>
  <c r="KX22" i="5"/>
  <c r="KW22" i="5"/>
  <c r="KV22" i="5"/>
  <c r="KU22" i="5"/>
  <c r="KT22" i="5"/>
  <c r="KS22" i="5"/>
  <c r="KR22" i="5"/>
  <c r="KQ22" i="5"/>
  <c r="KP22" i="5"/>
  <c r="KO22" i="5"/>
  <c r="KN22" i="5"/>
  <c r="KM22" i="5"/>
  <c r="KL22" i="5"/>
  <c r="KK22" i="5"/>
  <c r="KJ22" i="5"/>
  <c r="KI22" i="5"/>
  <c r="KH22" i="5"/>
  <c r="KG22" i="5"/>
  <c r="KF22" i="5"/>
  <c r="KE22" i="5"/>
  <c r="KD22" i="5"/>
  <c r="KC22" i="5"/>
  <c r="KB22" i="5"/>
  <c r="KA22" i="5"/>
  <c r="JZ22" i="5"/>
  <c r="JY22" i="5"/>
  <c r="JX22" i="5"/>
  <c r="JW22" i="5"/>
  <c r="JV22" i="5"/>
  <c r="JU22" i="5"/>
  <c r="JT22" i="5"/>
  <c r="JS22" i="5"/>
  <c r="JR22" i="5"/>
  <c r="JQ22" i="5"/>
  <c r="JP22" i="5"/>
  <c r="JO22" i="5"/>
  <c r="JN22" i="5"/>
  <c r="JM22" i="5"/>
  <c r="JL22" i="5"/>
  <c r="JK22" i="5"/>
  <c r="JJ22" i="5"/>
  <c r="JI22" i="5"/>
  <c r="JH22" i="5"/>
  <c r="JG22" i="5"/>
  <c r="JF22" i="5"/>
  <c r="JE22" i="5"/>
  <c r="JD22" i="5"/>
  <c r="JC22" i="5"/>
  <c r="JB22" i="5"/>
  <c r="JA22" i="5"/>
  <c r="IZ22" i="5"/>
  <c r="IY22" i="5"/>
  <c r="IX22" i="5"/>
  <c r="IW22" i="5"/>
  <c r="IV22" i="5"/>
  <c r="IU22" i="5"/>
  <c r="IT22" i="5"/>
  <c r="IS22" i="5"/>
  <c r="IR22" i="5"/>
  <c r="IQ22" i="5"/>
  <c r="IP22" i="5"/>
  <c r="IO22" i="5"/>
  <c r="IN22" i="5"/>
  <c r="IM22" i="5"/>
  <c r="IL22" i="5"/>
  <c r="IK22" i="5"/>
  <c r="IJ22" i="5"/>
  <c r="II22" i="5"/>
  <c r="IH22" i="5"/>
  <c r="IG22" i="5"/>
  <c r="IF22" i="5"/>
  <c r="IE22" i="5"/>
  <c r="ID22" i="5"/>
  <c r="IC22" i="5"/>
  <c r="IB22" i="5"/>
  <c r="IA22" i="5"/>
  <c r="HZ22" i="5"/>
  <c r="HY22" i="5"/>
  <c r="HX22" i="5"/>
  <c r="HW22" i="5"/>
  <c r="HV22" i="5"/>
  <c r="HU22" i="5"/>
  <c r="HT22" i="5"/>
  <c r="HS22" i="5"/>
  <c r="HR22" i="5"/>
  <c r="HQ22" i="5"/>
  <c r="HP22" i="5"/>
  <c r="HO22" i="5"/>
  <c r="HN22" i="5"/>
  <c r="HM22" i="5"/>
  <c r="HL22" i="5"/>
  <c r="HK22" i="5"/>
  <c r="HJ22" i="5"/>
  <c r="HI22" i="5"/>
  <c r="HH22" i="5"/>
  <c r="HG22" i="5"/>
  <c r="HF22" i="5"/>
  <c r="HE22" i="5"/>
  <c r="HD22" i="5"/>
  <c r="HC22" i="5"/>
  <c r="HB22" i="5"/>
  <c r="HA22" i="5"/>
  <c r="GZ22" i="5"/>
  <c r="GY22" i="5"/>
  <c r="GX22" i="5"/>
  <c r="GW22" i="5"/>
  <c r="GV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GI22" i="5"/>
  <c r="GH22" i="5"/>
  <c r="GG22" i="5"/>
  <c r="GF22" i="5"/>
  <c r="GE22" i="5"/>
  <c r="GD22" i="5"/>
  <c r="GC22" i="5"/>
  <c r="GB22" i="5"/>
  <c r="GA22" i="5"/>
  <c r="FZ22" i="5"/>
  <c r="FY22" i="5"/>
  <c r="FX22" i="5"/>
  <c r="FW22" i="5"/>
  <c r="FV22" i="5"/>
  <c r="FU22" i="5"/>
  <c r="FT22" i="5"/>
  <c r="FS22" i="5"/>
  <c r="FR22" i="5"/>
  <c r="FQ22" i="5"/>
  <c r="FP22" i="5"/>
  <c r="FO22" i="5"/>
  <c r="FN22" i="5"/>
  <c r="FM22" i="5"/>
  <c r="FL22" i="5"/>
  <c r="FK22" i="5"/>
  <c r="FJ22" i="5"/>
  <c r="FI22" i="5"/>
  <c r="FH22" i="5"/>
  <c r="FG22" i="5"/>
  <c r="FF22" i="5"/>
  <c r="FE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SG21" i="5"/>
  <c r="SF21" i="5"/>
  <c r="SE21" i="5"/>
  <c r="SD21" i="5"/>
  <c r="SC21" i="5"/>
  <c r="SB21" i="5"/>
  <c r="SA21" i="5"/>
  <c r="RZ21" i="5"/>
  <c r="RY21" i="5"/>
  <c r="RX21" i="5"/>
  <c r="RW21" i="5"/>
  <c r="RV21" i="5"/>
  <c r="RU21" i="5"/>
  <c r="RT21" i="5"/>
  <c r="RS21" i="5"/>
  <c r="RR21" i="5"/>
  <c r="RQ21" i="5"/>
  <c r="RP21" i="5"/>
  <c r="RO21" i="5"/>
  <c r="RN21" i="5"/>
  <c r="RM21" i="5"/>
  <c r="RL21" i="5"/>
  <c r="RK21" i="5"/>
  <c r="RJ21" i="5"/>
  <c r="RI21" i="5"/>
  <c r="RH21" i="5"/>
  <c r="RG21" i="5"/>
  <c r="RF21" i="5"/>
  <c r="RE21" i="5"/>
  <c r="RD21" i="5"/>
  <c r="RC21" i="5"/>
  <c r="RB21" i="5"/>
  <c r="RA21" i="5"/>
  <c r="QZ21" i="5"/>
  <c r="QY21" i="5"/>
  <c r="QX21" i="5"/>
  <c r="QW21" i="5"/>
  <c r="QV21" i="5"/>
  <c r="QU21" i="5"/>
  <c r="QT21" i="5"/>
  <c r="QS21" i="5"/>
  <c r="QR21" i="5"/>
  <c r="QQ21" i="5"/>
  <c r="QP21" i="5"/>
  <c r="QO21" i="5"/>
  <c r="QN21" i="5"/>
  <c r="QM21" i="5"/>
  <c r="QL21" i="5"/>
  <c r="QK21" i="5"/>
  <c r="QJ21" i="5"/>
  <c r="QI21" i="5"/>
  <c r="QH21" i="5"/>
  <c r="QG21" i="5"/>
  <c r="QF21" i="5"/>
  <c r="QE21" i="5"/>
  <c r="QD21" i="5"/>
  <c r="QC21" i="5"/>
  <c r="QB21" i="5"/>
  <c r="QA21" i="5"/>
  <c r="PZ21" i="5"/>
  <c r="PY21" i="5"/>
  <c r="PX21" i="5"/>
  <c r="PW21" i="5"/>
  <c r="PV21" i="5"/>
  <c r="PU21" i="5"/>
  <c r="PT21" i="5"/>
  <c r="PS21" i="5"/>
  <c r="PR21" i="5"/>
  <c r="PQ21" i="5"/>
  <c r="PP21" i="5"/>
  <c r="PO21" i="5"/>
  <c r="PN21" i="5"/>
  <c r="PM21" i="5"/>
  <c r="PL21" i="5"/>
  <c r="PK21" i="5"/>
  <c r="PJ21" i="5"/>
  <c r="PI21" i="5"/>
  <c r="PH21" i="5"/>
  <c r="PG21" i="5"/>
  <c r="PF21" i="5"/>
  <c r="PE21" i="5"/>
  <c r="PD21" i="5"/>
  <c r="PC21" i="5"/>
  <c r="PB21" i="5"/>
  <c r="PA21" i="5"/>
  <c r="OZ21" i="5"/>
  <c r="OY21" i="5"/>
  <c r="OX21" i="5"/>
  <c r="OW21" i="5"/>
  <c r="OV21" i="5"/>
  <c r="OU21" i="5"/>
  <c r="OT21" i="5"/>
  <c r="OS21" i="5"/>
  <c r="OR21" i="5"/>
  <c r="OQ21" i="5"/>
  <c r="OP21" i="5"/>
  <c r="OO21" i="5"/>
  <c r="ON21" i="5"/>
  <c r="OM21" i="5"/>
  <c r="OL21" i="5"/>
  <c r="OK21" i="5"/>
  <c r="OJ21" i="5"/>
  <c r="OI21" i="5"/>
  <c r="OH21" i="5"/>
  <c r="OG21" i="5"/>
  <c r="OF21" i="5"/>
  <c r="OE21" i="5"/>
  <c r="OD21" i="5"/>
  <c r="OC21" i="5"/>
  <c r="OB21" i="5"/>
  <c r="OA21" i="5"/>
  <c r="NZ21" i="5"/>
  <c r="NY21" i="5"/>
  <c r="NX21" i="5"/>
  <c r="NW21" i="5"/>
  <c r="NV21" i="5"/>
  <c r="NU21" i="5"/>
  <c r="NT21" i="5"/>
  <c r="NS21" i="5"/>
  <c r="NR21" i="5"/>
  <c r="NQ21" i="5"/>
  <c r="NP21" i="5"/>
  <c r="NO21" i="5"/>
  <c r="NN21" i="5"/>
  <c r="NM21" i="5"/>
  <c r="NL21" i="5"/>
  <c r="NK21" i="5"/>
  <c r="NJ21" i="5"/>
  <c r="NI21" i="5"/>
  <c r="NH21" i="5"/>
  <c r="NG21" i="5"/>
  <c r="NF21" i="5"/>
  <c r="NE21" i="5"/>
  <c r="ND21" i="5"/>
  <c r="NC21" i="5"/>
  <c r="NB21" i="5"/>
  <c r="NA21" i="5"/>
  <c r="MZ21" i="5"/>
  <c r="MY21" i="5"/>
  <c r="MX21" i="5"/>
  <c r="MW21" i="5"/>
  <c r="MV21" i="5"/>
  <c r="MU21" i="5"/>
  <c r="MT21" i="5"/>
  <c r="MS21" i="5"/>
  <c r="MR21" i="5"/>
  <c r="MQ21" i="5"/>
  <c r="MP21" i="5"/>
  <c r="MO21" i="5"/>
  <c r="MN21" i="5"/>
  <c r="MM21" i="5"/>
  <c r="ML21" i="5"/>
  <c r="MK21" i="5"/>
  <c r="MJ21" i="5"/>
  <c r="MI21" i="5"/>
  <c r="MH21" i="5"/>
  <c r="MG21" i="5"/>
  <c r="MF21" i="5"/>
  <c r="ME21" i="5"/>
  <c r="MD21" i="5"/>
  <c r="MC21" i="5"/>
  <c r="MB21" i="5"/>
  <c r="MA21" i="5"/>
  <c r="LZ21" i="5"/>
  <c r="LY21" i="5"/>
  <c r="LX21" i="5"/>
  <c r="LW21" i="5"/>
  <c r="LV21" i="5"/>
  <c r="LU21" i="5"/>
  <c r="LT21" i="5"/>
  <c r="LS21" i="5"/>
  <c r="LR21" i="5"/>
  <c r="LQ21" i="5"/>
  <c r="LP21" i="5"/>
  <c r="LO21" i="5"/>
  <c r="LN21" i="5"/>
  <c r="LM21" i="5"/>
  <c r="LL21" i="5"/>
  <c r="LK21" i="5"/>
  <c r="LJ21" i="5"/>
  <c r="LI21" i="5"/>
  <c r="LH21" i="5"/>
  <c r="LG21" i="5"/>
  <c r="LF21" i="5"/>
  <c r="LE21" i="5"/>
  <c r="LD21" i="5"/>
  <c r="LC21" i="5"/>
  <c r="LB21" i="5"/>
  <c r="LA21" i="5"/>
  <c r="KZ21" i="5"/>
  <c r="KY21" i="5"/>
  <c r="KX21" i="5"/>
  <c r="KW21" i="5"/>
  <c r="KV21" i="5"/>
  <c r="KU21" i="5"/>
  <c r="KT21" i="5"/>
  <c r="KS21" i="5"/>
  <c r="KR21" i="5"/>
  <c r="KQ21" i="5"/>
  <c r="KP21" i="5"/>
  <c r="KO21" i="5"/>
  <c r="KN21" i="5"/>
  <c r="KM21" i="5"/>
  <c r="KL21" i="5"/>
  <c r="KK21" i="5"/>
  <c r="KJ21" i="5"/>
  <c r="KI21" i="5"/>
  <c r="KH21" i="5"/>
  <c r="KG21" i="5"/>
  <c r="KF21" i="5"/>
  <c r="KE21" i="5"/>
  <c r="KD21" i="5"/>
  <c r="KC21" i="5"/>
  <c r="KB21" i="5"/>
  <c r="KA21" i="5"/>
  <c r="JZ21" i="5"/>
  <c r="JY21" i="5"/>
  <c r="JX21" i="5"/>
  <c r="JW21" i="5"/>
  <c r="JV21" i="5"/>
  <c r="JU21" i="5"/>
  <c r="JT21" i="5"/>
  <c r="JS21" i="5"/>
  <c r="JR21" i="5"/>
  <c r="JQ21" i="5"/>
  <c r="JP21" i="5"/>
  <c r="JO21" i="5"/>
  <c r="JN21" i="5"/>
  <c r="JM21" i="5"/>
  <c r="JL21" i="5"/>
  <c r="JK21" i="5"/>
  <c r="JJ21" i="5"/>
  <c r="JI21" i="5"/>
  <c r="JH21" i="5"/>
  <c r="JG21" i="5"/>
  <c r="JF21" i="5"/>
  <c r="JE21" i="5"/>
  <c r="JD21" i="5"/>
  <c r="JC21" i="5"/>
  <c r="JB21" i="5"/>
  <c r="JA21" i="5"/>
  <c r="IZ21" i="5"/>
  <c r="IY21" i="5"/>
  <c r="IX21" i="5"/>
  <c r="IW21" i="5"/>
  <c r="IV21" i="5"/>
  <c r="IU21" i="5"/>
  <c r="IT21" i="5"/>
  <c r="IS21" i="5"/>
  <c r="IR21" i="5"/>
  <c r="IQ21" i="5"/>
  <c r="IP21" i="5"/>
  <c r="IO21" i="5"/>
  <c r="IN21" i="5"/>
  <c r="IM21" i="5"/>
  <c r="IL21" i="5"/>
  <c r="IK21" i="5"/>
  <c r="IJ21" i="5"/>
  <c r="II21" i="5"/>
  <c r="IH21" i="5"/>
  <c r="IG21" i="5"/>
  <c r="IF21" i="5"/>
  <c r="IE21" i="5"/>
  <c r="ID21" i="5"/>
  <c r="IC21" i="5"/>
  <c r="IB21" i="5"/>
  <c r="IA21" i="5"/>
  <c r="HZ21" i="5"/>
  <c r="HY21" i="5"/>
  <c r="HX21" i="5"/>
  <c r="HW21" i="5"/>
  <c r="HV21" i="5"/>
  <c r="HU21" i="5"/>
  <c r="HT21" i="5"/>
  <c r="HS21" i="5"/>
  <c r="HR21" i="5"/>
  <c r="HQ21" i="5"/>
  <c r="HP21" i="5"/>
  <c r="HO21" i="5"/>
  <c r="HN21" i="5"/>
  <c r="HM21" i="5"/>
  <c r="HL21" i="5"/>
  <c r="HK21" i="5"/>
  <c r="HJ21" i="5"/>
  <c r="HI21" i="5"/>
  <c r="HH21" i="5"/>
  <c r="HG21" i="5"/>
  <c r="HF21" i="5"/>
  <c r="HE21" i="5"/>
  <c r="HD21" i="5"/>
  <c r="HC21" i="5"/>
  <c r="HB21" i="5"/>
  <c r="HA21" i="5"/>
  <c r="GZ21" i="5"/>
  <c r="GY21" i="5"/>
  <c r="GX21" i="5"/>
  <c r="GW21" i="5"/>
  <c r="GV21" i="5"/>
  <c r="GU21" i="5"/>
  <c r="GT21" i="5"/>
  <c r="GS21" i="5"/>
  <c r="GR21" i="5"/>
  <c r="GQ21" i="5"/>
  <c r="GP21" i="5"/>
  <c r="GO21" i="5"/>
  <c r="GN21" i="5"/>
  <c r="GM21" i="5"/>
  <c r="GL21" i="5"/>
  <c r="GK21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FU21" i="5"/>
  <c r="FT21" i="5"/>
  <c r="FS21" i="5"/>
  <c r="FR21" i="5"/>
  <c r="FQ21" i="5"/>
  <c r="FP21" i="5"/>
  <c r="FO21" i="5"/>
  <c r="FN21" i="5"/>
  <c r="FM21" i="5"/>
  <c r="FL21" i="5"/>
  <c r="FK21" i="5"/>
  <c r="FJ21" i="5"/>
  <c r="FI21" i="5"/>
  <c r="FH21" i="5"/>
  <c r="FG21" i="5"/>
  <c r="FF21" i="5"/>
  <c r="FE21" i="5"/>
  <c r="FD21" i="5"/>
  <c r="FC21" i="5"/>
  <c r="FB21" i="5"/>
  <c r="FA21" i="5"/>
  <c r="EZ21" i="5"/>
  <c r="EY21" i="5"/>
  <c r="EX21" i="5"/>
  <c r="EW21" i="5"/>
  <c r="EV21" i="5"/>
  <c r="EU21" i="5"/>
  <c r="ET21" i="5"/>
  <c r="ES21" i="5"/>
  <c r="ER21" i="5"/>
  <c r="EQ21" i="5"/>
  <c r="EP21" i="5"/>
  <c r="EO21" i="5"/>
  <c r="EN21" i="5"/>
  <c r="EM21" i="5"/>
  <c r="EL21" i="5"/>
  <c r="EK21" i="5"/>
  <c r="EJ21" i="5"/>
  <c r="EI21" i="5"/>
  <c r="EH21" i="5"/>
  <c r="EG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SG20" i="5"/>
  <c r="SF20" i="5"/>
  <c r="SE20" i="5"/>
  <c r="SD20" i="5"/>
  <c r="SC20" i="5"/>
  <c r="SB20" i="5"/>
  <c r="SA20" i="5"/>
  <c r="RZ20" i="5"/>
  <c r="RY20" i="5"/>
  <c r="RX20" i="5"/>
  <c r="RW20" i="5"/>
  <c r="RV20" i="5"/>
  <c r="RU20" i="5"/>
  <c r="RT20" i="5"/>
  <c r="RS20" i="5"/>
  <c r="RR20" i="5"/>
  <c r="RQ20" i="5"/>
  <c r="RP20" i="5"/>
  <c r="RO20" i="5"/>
  <c r="RN20" i="5"/>
  <c r="RM20" i="5"/>
  <c r="RL20" i="5"/>
  <c r="RK20" i="5"/>
  <c r="RJ20" i="5"/>
  <c r="RI20" i="5"/>
  <c r="RH20" i="5"/>
  <c r="RG20" i="5"/>
  <c r="RF20" i="5"/>
  <c r="RE20" i="5"/>
  <c r="RD20" i="5"/>
  <c r="RC20" i="5"/>
  <c r="RB20" i="5"/>
  <c r="RA20" i="5"/>
  <c r="QZ20" i="5"/>
  <c r="QY20" i="5"/>
  <c r="QX20" i="5"/>
  <c r="QW20" i="5"/>
  <c r="QV20" i="5"/>
  <c r="QU20" i="5"/>
  <c r="QT20" i="5"/>
  <c r="QS20" i="5"/>
  <c r="QR20" i="5"/>
  <c r="QQ20" i="5"/>
  <c r="QP20" i="5"/>
  <c r="QO20" i="5"/>
  <c r="QN20" i="5"/>
  <c r="QM20" i="5"/>
  <c r="QL20" i="5"/>
  <c r="QK20" i="5"/>
  <c r="QJ20" i="5"/>
  <c r="QI20" i="5"/>
  <c r="QH20" i="5"/>
  <c r="QG20" i="5"/>
  <c r="QF20" i="5"/>
  <c r="QE20" i="5"/>
  <c r="QD20" i="5"/>
  <c r="QC20" i="5"/>
  <c r="QB20" i="5"/>
  <c r="QA20" i="5"/>
  <c r="PZ20" i="5"/>
  <c r="PY20" i="5"/>
  <c r="PX20" i="5"/>
  <c r="PW20" i="5"/>
  <c r="PV20" i="5"/>
  <c r="PU20" i="5"/>
  <c r="PT20" i="5"/>
  <c r="PS20" i="5"/>
  <c r="PR20" i="5"/>
  <c r="PQ20" i="5"/>
  <c r="PP20" i="5"/>
  <c r="PO20" i="5"/>
  <c r="PN20" i="5"/>
  <c r="PM20" i="5"/>
  <c r="PL20" i="5"/>
  <c r="PK20" i="5"/>
  <c r="PJ20" i="5"/>
  <c r="PI20" i="5"/>
  <c r="PH20" i="5"/>
  <c r="PG20" i="5"/>
  <c r="PF20" i="5"/>
  <c r="PE20" i="5"/>
  <c r="PD20" i="5"/>
  <c r="PC20" i="5"/>
  <c r="PB20" i="5"/>
  <c r="PA20" i="5"/>
  <c r="OZ20" i="5"/>
  <c r="OY20" i="5"/>
  <c r="OX20" i="5"/>
  <c r="OW20" i="5"/>
  <c r="OV20" i="5"/>
  <c r="OU20" i="5"/>
  <c r="OT20" i="5"/>
  <c r="OS20" i="5"/>
  <c r="OR20" i="5"/>
  <c r="OQ20" i="5"/>
  <c r="OP20" i="5"/>
  <c r="OO20" i="5"/>
  <c r="ON20" i="5"/>
  <c r="OM20" i="5"/>
  <c r="OL20" i="5"/>
  <c r="OK20" i="5"/>
  <c r="OJ20" i="5"/>
  <c r="OI20" i="5"/>
  <c r="OH20" i="5"/>
  <c r="OG20" i="5"/>
  <c r="OF20" i="5"/>
  <c r="OE20" i="5"/>
  <c r="OD20" i="5"/>
  <c r="OC20" i="5"/>
  <c r="OB20" i="5"/>
  <c r="OA20" i="5"/>
  <c r="NZ20" i="5"/>
  <c r="NY20" i="5"/>
  <c r="NX20" i="5"/>
  <c r="NW20" i="5"/>
  <c r="NV20" i="5"/>
  <c r="NU20" i="5"/>
  <c r="NT20" i="5"/>
  <c r="NS20" i="5"/>
  <c r="NR20" i="5"/>
  <c r="NQ20" i="5"/>
  <c r="NP20" i="5"/>
  <c r="NO20" i="5"/>
  <c r="NN20" i="5"/>
  <c r="NM20" i="5"/>
  <c r="NL20" i="5"/>
  <c r="NK20" i="5"/>
  <c r="NJ20" i="5"/>
  <c r="NI20" i="5"/>
  <c r="NH20" i="5"/>
  <c r="NG20" i="5"/>
  <c r="NF20" i="5"/>
  <c r="NE20" i="5"/>
  <c r="ND20" i="5"/>
  <c r="NC20" i="5"/>
  <c r="NB20" i="5"/>
  <c r="NA20" i="5"/>
  <c r="MZ20" i="5"/>
  <c r="MY20" i="5"/>
  <c r="MX20" i="5"/>
  <c r="MW20" i="5"/>
  <c r="MV20" i="5"/>
  <c r="MU20" i="5"/>
  <c r="MT20" i="5"/>
  <c r="MS20" i="5"/>
  <c r="MR20" i="5"/>
  <c r="MQ20" i="5"/>
  <c r="MP20" i="5"/>
  <c r="MO20" i="5"/>
  <c r="MN20" i="5"/>
  <c r="MM20" i="5"/>
  <c r="ML20" i="5"/>
  <c r="MK20" i="5"/>
  <c r="MJ20" i="5"/>
  <c r="MI20" i="5"/>
  <c r="MH20" i="5"/>
  <c r="MG20" i="5"/>
  <c r="MF20" i="5"/>
  <c r="ME20" i="5"/>
  <c r="MD20" i="5"/>
  <c r="MC20" i="5"/>
  <c r="MB20" i="5"/>
  <c r="MA20" i="5"/>
  <c r="LZ20" i="5"/>
  <c r="LY20" i="5"/>
  <c r="LX20" i="5"/>
  <c r="LW20" i="5"/>
  <c r="LV20" i="5"/>
  <c r="LU20" i="5"/>
  <c r="LT20" i="5"/>
  <c r="LS20" i="5"/>
  <c r="LR20" i="5"/>
  <c r="LQ20" i="5"/>
  <c r="LP20" i="5"/>
  <c r="LO20" i="5"/>
  <c r="LN20" i="5"/>
  <c r="LM20" i="5"/>
  <c r="LL20" i="5"/>
  <c r="LK20" i="5"/>
  <c r="LJ20" i="5"/>
  <c r="LI20" i="5"/>
  <c r="LH20" i="5"/>
  <c r="LG20" i="5"/>
  <c r="LF20" i="5"/>
  <c r="LE20" i="5"/>
  <c r="LD20" i="5"/>
  <c r="LC20" i="5"/>
  <c r="LB20" i="5"/>
  <c r="LA20" i="5"/>
  <c r="KZ20" i="5"/>
  <c r="KY20" i="5"/>
  <c r="KX20" i="5"/>
  <c r="KW20" i="5"/>
  <c r="KV20" i="5"/>
  <c r="KU20" i="5"/>
  <c r="KT20" i="5"/>
  <c r="KS20" i="5"/>
  <c r="KR20" i="5"/>
  <c r="KQ20" i="5"/>
  <c r="KP20" i="5"/>
  <c r="KO20" i="5"/>
  <c r="KN20" i="5"/>
  <c r="KM20" i="5"/>
  <c r="KL20" i="5"/>
  <c r="KK20" i="5"/>
  <c r="KJ20" i="5"/>
  <c r="KI20" i="5"/>
  <c r="KH20" i="5"/>
  <c r="KG20" i="5"/>
  <c r="KF20" i="5"/>
  <c r="KE20" i="5"/>
  <c r="KD20" i="5"/>
  <c r="KC20" i="5"/>
  <c r="KB20" i="5"/>
  <c r="KA20" i="5"/>
  <c r="JZ20" i="5"/>
  <c r="JY20" i="5"/>
  <c r="JX20" i="5"/>
  <c r="JW20" i="5"/>
  <c r="JV20" i="5"/>
  <c r="JU20" i="5"/>
  <c r="JT20" i="5"/>
  <c r="JS20" i="5"/>
  <c r="JR20" i="5"/>
  <c r="JQ20" i="5"/>
  <c r="JP20" i="5"/>
  <c r="JO20" i="5"/>
  <c r="JN20" i="5"/>
  <c r="JM20" i="5"/>
  <c r="JL20" i="5"/>
  <c r="JK20" i="5"/>
  <c r="JJ20" i="5"/>
  <c r="JI20" i="5"/>
  <c r="JH20" i="5"/>
  <c r="JG20" i="5"/>
  <c r="JF20" i="5"/>
  <c r="JE20" i="5"/>
  <c r="JD20" i="5"/>
  <c r="JC20" i="5"/>
  <c r="JB20" i="5"/>
  <c r="JA20" i="5"/>
  <c r="IZ20" i="5"/>
  <c r="IY20" i="5"/>
  <c r="IX20" i="5"/>
  <c r="IW20" i="5"/>
  <c r="IV20" i="5"/>
  <c r="IU20" i="5"/>
  <c r="IT20" i="5"/>
  <c r="IS20" i="5"/>
  <c r="IR20" i="5"/>
  <c r="IQ20" i="5"/>
  <c r="IP20" i="5"/>
  <c r="IO20" i="5"/>
  <c r="IN20" i="5"/>
  <c r="IM20" i="5"/>
  <c r="IL20" i="5"/>
  <c r="IK20" i="5"/>
  <c r="IJ20" i="5"/>
  <c r="II20" i="5"/>
  <c r="IH20" i="5"/>
  <c r="IG20" i="5"/>
  <c r="IF20" i="5"/>
  <c r="IE20" i="5"/>
  <c r="ID20" i="5"/>
  <c r="IC20" i="5"/>
  <c r="IB20" i="5"/>
  <c r="IA20" i="5"/>
  <c r="HZ20" i="5"/>
  <c r="HY20" i="5"/>
  <c r="HX20" i="5"/>
  <c r="HW20" i="5"/>
  <c r="HV20" i="5"/>
  <c r="HU20" i="5"/>
  <c r="HT20" i="5"/>
  <c r="HS20" i="5"/>
  <c r="HR20" i="5"/>
  <c r="HQ20" i="5"/>
  <c r="HP20" i="5"/>
  <c r="HO20" i="5"/>
  <c r="HN20" i="5"/>
  <c r="HM20" i="5"/>
  <c r="HL20" i="5"/>
  <c r="HK20" i="5"/>
  <c r="HJ20" i="5"/>
  <c r="HI20" i="5"/>
  <c r="HH20" i="5"/>
  <c r="HG20" i="5"/>
  <c r="HF20" i="5"/>
  <c r="HE20" i="5"/>
  <c r="HD20" i="5"/>
  <c r="HC20" i="5"/>
  <c r="HB20" i="5"/>
  <c r="HA20" i="5"/>
  <c r="GZ20" i="5"/>
  <c r="GY20" i="5"/>
  <c r="GX20" i="5"/>
  <c r="GW20" i="5"/>
  <c r="GV20" i="5"/>
  <c r="GU20" i="5"/>
  <c r="GT20" i="5"/>
  <c r="GS20" i="5"/>
  <c r="GR20" i="5"/>
  <c r="GQ20" i="5"/>
  <c r="GP20" i="5"/>
  <c r="GO20" i="5"/>
  <c r="GN20" i="5"/>
  <c r="GM20" i="5"/>
  <c r="GL20" i="5"/>
  <c r="GK20" i="5"/>
  <c r="GJ20" i="5"/>
  <c r="GI20" i="5"/>
  <c r="GH20" i="5"/>
  <c r="GG20" i="5"/>
  <c r="GF20" i="5"/>
  <c r="GE20" i="5"/>
  <c r="GD20" i="5"/>
  <c r="GC20" i="5"/>
  <c r="GB20" i="5"/>
  <c r="GA20" i="5"/>
  <c r="FZ20" i="5"/>
  <c r="FY20" i="5"/>
  <c r="FX20" i="5"/>
  <c r="FW20" i="5"/>
  <c r="FV20" i="5"/>
  <c r="FU20" i="5"/>
  <c r="FT20" i="5"/>
  <c r="FS20" i="5"/>
  <c r="FR20" i="5"/>
  <c r="FQ20" i="5"/>
  <c r="FP20" i="5"/>
  <c r="FO20" i="5"/>
  <c r="FN20" i="5"/>
  <c r="FM20" i="5"/>
  <c r="FL20" i="5"/>
  <c r="FK20" i="5"/>
  <c r="FJ20" i="5"/>
  <c r="FI20" i="5"/>
  <c r="FH20" i="5"/>
  <c r="FG20" i="5"/>
  <c r="FF20" i="5"/>
  <c r="FE20" i="5"/>
  <c r="FD20" i="5"/>
  <c r="FC20" i="5"/>
  <c r="FB20" i="5"/>
  <c r="FA20" i="5"/>
  <c r="EZ20" i="5"/>
  <c r="EY20" i="5"/>
  <c r="EX20" i="5"/>
  <c r="EW20" i="5"/>
  <c r="EV20" i="5"/>
  <c r="EU20" i="5"/>
  <c r="ET20" i="5"/>
  <c r="ES20" i="5"/>
  <c r="ER20" i="5"/>
  <c r="EQ20" i="5"/>
  <c r="EP20" i="5"/>
  <c r="EO20" i="5"/>
  <c r="EN20" i="5"/>
  <c r="EM20" i="5"/>
  <c r="EL20" i="5"/>
  <c r="EK20" i="5"/>
  <c r="EJ20" i="5"/>
  <c r="EI20" i="5"/>
  <c r="EH20" i="5"/>
  <c r="EG20" i="5"/>
  <c r="EF20" i="5"/>
  <c r="EE20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SG19" i="5"/>
  <c r="SF19" i="5"/>
  <c r="SE19" i="5"/>
  <c r="SD19" i="5"/>
  <c r="SC19" i="5"/>
  <c r="SB19" i="5"/>
  <c r="SA19" i="5"/>
  <c r="RZ19" i="5"/>
  <c r="RY19" i="5"/>
  <c r="RX19" i="5"/>
  <c r="RW19" i="5"/>
  <c r="RV19" i="5"/>
  <c r="RU19" i="5"/>
  <c r="RT19" i="5"/>
  <c r="RS19" i="5"/>
  <c r="RR19" i="5"/>
  <c r="RQ19" i="5"/>
  <c r="RP19" i="5"/>
  <c r="RO19" i="5"/>
  <c r="RN19" i="5"/>
  <c r="RM19" i="5"/>
  <c r="RL19" i="5"/>
  <c r="RK19" i="5"/>
  <c r="RJ19" i="5"/>
  <c r="RI19" i="5"/>
  <c r="RH19" i="5"/>
  <c r="RG19" i="5"/>
  <c r="RF19" i="5"/>
  <c r="RE19" i="5"/>
  <c r="RD19" i="5"/>
  <c r="RC19" i="5"/>
  <c r="RB19" i="5"/>
  <c r="RA19" i="5"/>
  <c r="QZ19" i="5"/>
  <c r="QY19" i="5"/>
  <c r="QX19" i="5"/>
  <c r="QW19" i="5"/>
  <c r="QV19" i="5"/>
  <c r="QU19" i="5"/>
  <c r="QT19" i="5"/>
  <c r="QS19" i="5"/>
  <c r="QR19" i="5"/>
  <c r="QQ19" i="5"/>
  <c r="QP19" i="5"/>
  <c r="QO19" i="5"/>
  <c r="QN19" i="5"/>
  <c r="QM19" i="5"/>
  <c r="QL19" i="5"/>
  <c r="QK19" i="5"/>
  <c r="QJ19" i="5"/>
  <c r="QI19" i="5"/>
  <c r="QH19" i="5"/>
  <c r="QG19" i="5"/>
  <c r="QF19" i="5"/>
  <c r="QE19" i="5"/>
  <c r="QD19" i="5"/>
  <c r="QC19" i="5"/>
  <c r="QB19" i="5"/>
  <c r="QA19" i="5"/>
  <c r="PZ19" i="5"/>
  <c r="PY19" i="5"/>
  <c r="PX19" i="5"/>
  <c r="PW19" i="5"/>
  <c r="PV19" i="5"/>
  <c r="PU19" i="5"/>
  <c r="PT19" i="5"/>
  <c r="PS19" i="5"/>
  <c r="PR19" i="5"/>
  <c r="PQ19" i="5"/>
  <c r="PP19" i="5"/>
  <c r="PO19" i="5"/>
  <c r="PN19" i="5"/>
  <c r="PM19" i="5"/>
  <c r="PL19" i="5"/>
  <c r="PK19" i="5"/>
  <c r="PJ19" i="5"/>
  <c r="PI19" i="5"/>
  <c r="PH19" i="5"/>
  <c r="PG19" i="5"/>
  <c r="PF19" i="5"/>
  <c r="PE19" i="5"/>
  <c r="PD19" i="5"/>
  <c r="PC19" i="5"/>
  <c r="PB19" i="5"/>
  <c r="PA19" i="5"/>
  <c r="OZ19" i="5"/>
  <c r="OY19" i="5"/>
  <c r="OX19" i="5"/>
  <c r="OW19" i="5"/>
  <c r="OV19" i="5"/>
  <c r="OU19" i="5"/>
  <c r="OT19" i="5"/>
  <c r="OS19" i="5"/>
  <c r="OR19" i="5"/>
  <c r="OQ19" i="5"/>
  <c r="OP19" i="5"/>
  <c r="OO19" i="5"/>
  <c r="ON19" i="5"/>
  <c r="OM19" i="5"/>
  <c r="OL19" i="5"/>
  <c r="OK19" i="5"/>
  <c r="OJ19" i="5"/>
  <c r="OI19" i="5"/>
  <c r="OH19" i="5"/>
  <c r="OG19" i="5"/>
  <c r="OF19" i="5"/>
  <c r="OE19" i="5"/>
  <c r="OD19" i="5"/>
  <c r="OC19" i="5"/>
  <c r="OB19" i="5"/>
  <c r="OA19" i="5"/>
  <c r="NZ19" i="5"/>
  <c r="NY19" i="5"/>
  <c r="NX19" i="5"/>
  <c r="NW19" i="5"/>
  <c r="NV19" i="5"/>
  <c r="NU19" i="5"/>
  <c r="NT19" i="5"/>
  <c r="NS19" i="5"/>
  <c r="NR19" i="5"/>
  <c r="NQ19" i="5"/>
  <c r="NP19" i="5"/>
  <c r="NO19" i="5"/>
  <c r="NN19" i="5"/>
  <c r="NM19" i="5"/>
  <c r="NL19" i="5"/>
  <c r="NK19" i="5"/>
  <c r="NJ19" i="5"/>
  <c r="NI19" i="5"/>
  <c r="NH19" i="5"/>
  <c r="NG19" i="5"/>
  <c r="NF19" i="5"/>
  <c r="NE19" i="5"/>
  <c r="ND19" i="5"/>
  <c r="NC19" i="5"/>
  <c r="NB19" i="5"/>
  <c r="NA19" i="5"/>
  <c r="MZ19" i="5"/>
  <c r="MY19" i="5"/>
  <c r="MX19" i="5"/>
  <c r="MW19" i="5"/>
  <c r="MV19" i="5"/>
  <c r="MU19" i="5"/>
  <c r="MT19" i="5"/>
  <c r="MS19" i="5"/>
  <c r="MR19" i="5"/>
  <c r="MQ19" i="5"/>
  <c r="MP19" i="5"/>
  <c r="MO19" i="5"/>
  <c r="MN19" i="5"/>
  <c r="MM19" i="5"/>
  <c r="ML19" i="5"/>
  <c r="MK19" i="5"/>
  <c r="MJ19" i="5"/>
  <c r="MI19" i="5"/>
  <c r="MH19" i="5"/>
  <c r="MG19" i="5"/>
  <c r="MF19" i="5"/>
  <c r="ME19" i="5"/>
  <c r="MD19" i="5"/>
  <c r="MC19" i="5"/>
  <c r="MB19" i="5"/>
  <c r="MA19" i="5"/>
  <c r="LZ19" i="5"/>
  <c r="LY19" i="5"/>
  <c r="LX19" i="5"/>
  <c r="LW19" i="5"/>
  <c r="LV19" i="5"/>
  <c r="LU19" i="5"/>
  <c r="LT19" i="5"/>
  <c r="LS19" i="5"/>
  <c r="LR19" i="5"/>
  <c r="LQ19" i="5"/>
  <c r="LP19" i="5"/>
  <c r="LO19" i="5"/>
  <c r="LN19" i="5"/>
  <c r="LM19" i="5"/>
  <c r="LL19" i="5"/>
  <c r="LK19" i="5"/>
  <c r="LJ19" i="5"/>
  <c r="LI19" i="5"/>
  <c r="LH19" i="5"/>
  <c r="LG19" i="5"/>
  <c r="LF19" i="5"/>
  <c r="LE19" i="5"/>
  <c r="LD19" i="5"/>
  <c r="LC19" i="5"/>
  <c r="LB19" i="5"/>
  <c r="LA19" i="5"/>
  <c r="KZ19" i="5"/>
  <c r="KY19" i="5"/>
  <c r="KX19" i="5"/>
  <c r="KW19" i="5"/>
  <c r="KV19" i="5"/>
  <c r="KU19" i="5"/>
  <c r="KT19" i="5"/>
  <c r="KS19" i="5"/>
  <c r="KR19" i="5"/>
  <c r="KQ19" i="5"/>
  <c r="KP19" i="5"/>
  <c r="KO19" i="5"/>
  <c r="KN19" i="5"/>
  <c r="KM19" i="5"/>
  <c r="KL19" i="5"/>
  <c r="KK19" i="5"/>
  <c r="KJ19" i="5"/>
  <c r="KI19" i="5"/>
  <c r="KH19" i="5"/>
  <c r="KG19" i="5"/>
  <c r="KF19" i="5"/>
  <c r="KE19" i="5"/>
  <c r="KD19" i="5"/>
  <c r="KC19" i="5"/>
  <c r="KB19" i="5"/>
  <c r="KA19" i="5"/>
  <c r="JZ19" i="5"/>
  <c r="JY19" i="5"/>
  <c r="JX19" i="5"/>
  <c r="JW19" i="5"/>
  <c r="JV19" i="5"/>
  <c r="JU19" i="5"/>
  <c r="JT19" i="5"/>
  <c r="JS19" i="5"/>
  <c r="JR19" i="5"/>
  <c r="JQ19" i="5"/>
  <c r="JP19" i="5"/>
  <c r="JO19" i="5"/>
  <c r="JN19" i="5"/>
  <c r="JM19" i="5"/>
  <c r="JL19" i="5"/>
  <c r="JK19" i="5"/>
  <c r="JJ19" i="5"/>
  <c r="JI19" i="5"/>
  <c r="JH19" i="5"/>
  <c r="JG19" i="5"/>
  <c r="JF19" i="5"/>
  <c r="JE19" i="5"/>
  <c r="JD19" i="5"/>
  <c r="JC19" i="5"/>
  <c r="JB19" i="5"/>
  <c r="JA19" i="5"/>
  <c r="IZ19" i="5"/>
  <c r="IY19" i="5"/>
  <c r="IX19" i="5"/>
  <c r="IW19" i="5"/>
  <c r="IV19" i="5"/>
  <c r="IU19" i="5"/>
  <c r="IT19" i="5"/>
  <c r="IS19" i="5"/>
  <c r="IR19" i="5"/>
  <c r="IQ19" i="5"/>
  <c r="IP19" i="5"/>
  <c r="IO19" i="5"/>
  <c r="IN19" i="5"/>
  <c r="IM19" i="5"/>
  <c r="IL19" i="5"/>
  <c r="IK19" i="5"/>
  <c r="IJ19" i="5"/>
  <c r="II19" i="5"/>
  <c r="IH19" i="5"/>
  <c r="IG19" i="5"/>
  <c r="IF19" i="5"/>
  <c r="IE19" i="5"/>
  <c r="ID19" i="5"/>
  <c r="IC19" i="5"/>
  <c r="IB19" i="5"/>
  <c r="IA19" i="5"/>
  <c r="HZ19" i="5"/>
  <c r="HY19" i="5"/>
  <c r="HX19" i="5"/>
  <c r="HW19" i="5"/>
  <c r="HV19" i="5"/>
  <c r="HU19" i="5"/>
  <c r="HT19" i="5"/>
  <c r="HS19" i="5"/>
  <c r="HR19" i="5"/>
  <c r="HQ19" i="5"/>
  <c r="HP19" i="5"/>
  <c r="HO19" i="5"/>
  <c r="HN19" i="5"/>
  <c r="HM19" i="5"/>
  <c r="HL19" i="5"/>
  <c r="HK19" i="5"/>
  <c r="HJ19" i="5"/>
  <c r="HI19" i="5"/>
  <c r="HH19" i="5"/>
  <c r="HG19" i="5"/>
  <c r="HF19" i="5"/>
  <c r="HE19" i="5"/>
  <c r="HD19" i="5"/>
  <c r="HC19" i="5"/>
  <c r="HB19" i="5"/>
  <c r="HA19" i="5"/>
  <c r="GZ19" i="5"/>
  <c r="GY19" i="5"/>
  <c r="GX19" i="5"/>
  <c r="GW19" i="5"/>
  <c r="GV19" i="5"/>
  <c r="GU19" i="5"/>
  <c r="GT19" i="5"/>
  <c r="GS19" i="5"/>
  <c r="GR19" i="5"/>
  <c r="GQ19" i="5"/>
  <c r="GP19" i="5"/>
  <c r="GO19" i="5"/>
  <c r="GN19" i="5"/>
  <c r="GM19" i="5"/>
  <c r="GL19" i="5"/>
  <c r="GK19" i="5"/>
  <c r="GJ19" i="5"/>
  <c r="GI19" i="5"/>
  <c r="GH19" i="5"/>
  <c r="GG19" i="5"/>
  <c r="GF19" i="5"/>
  <c r="GE19" i="5"/>
  <c r="GD19" i="5"/>
  <c r="GC19" i="5"/>
  <c r="GB19" i="5"/>
  <c r="GA19" i="5"/>
  <c r="FZ19" i="5"/>
  <c r="FY19" i="5"/>
  <c r="FX19" i="5"/>
  <c r="FW19" i="5"/>
  <c r="FV19" i="5"/>
  <c r="FU19" i="5"/>
  <c r="FT19" i="5"/>
  <c r="FS19" i="5"/>
  <c r="FR19" i="5"/>
  <c r="FQ19" i="5"/>
  <c r="FP19" i="5"/>
  <c r="FO19" i="5"/>
  <c r="FN19" i="5"/>
  <c r="FM19" i="5"/>
  <c r="FL19" i="5"/>
  <c r="FK19" i="5"/>
  <c r="FJ19" i="5"/>
  <c r="FI19" i="5"/>
  <c r="FH19" i="5"/>
  <c r="FG19" i="5"/>
  <c r="FF19" i="5"/>
  <c r="FE19" i="5"/>
  <c r="FD19" i="5"/>
  <c r="FC19" i="5"/>
  <c r="FB19" i="5"/>
  <c r="FA19" i="5"/>
  <c r="EZ19" i="5"/>
  <c r="EY19" i="5"/>
  <c r="EX19" i="5"/>
  <c r="EW19" i="5"/>
  <c r="EV19" i="5"/>
  <c r="EU19" i="5"/>
  <c r="ET19" i="5"/>
  <c r="ES19" i="5"/>
  <c r="ER19" i="5"/>
  <c r="EQ19" i="5"/>
  <c r="EP19" i="5"/>
  <c r="EO19" i="5"/>
  <c r="EN19" i="5"/>
  <c r="EM19" i="5"/>
  <c r="EL19" i="5"/>
  <c r="EK19" i="5"/>
  <c r="EJ19" i="5"/>
  <c r="EI19" i="5"/>
  <c r="EH19" i="5"/>
  <c r="EG19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SG18" i="5"/>
  <c r="SF18" i="5"/>
  <c r="SE18" i="5"/>
  <c r="SD18" i="5"/>
  <c r="SC18" i="5"/>
  <c r="SB18" i="5"/>
  <c r="SA18" i="5"/>
  <c r="RZ18" i="5"/>
  <c r="RY18" i="5"/>
  <c r="RX18" i="5"/>
  <c r="RW18" i="5"/>
  <c r="RV18" i="5"/>
  <c r="RU18" i="5"/>
  <c r="RT18" i="5"/>
  <c r="RS18" i="5"/>
  <c r="RR18" i="5"/>
  <c r="RQ18" i="5"/>
  <c r="RP18" i="5"/>
  <c r="RO18" i="5"/>
  <c r="RN18" i="5"/>
  <c r="RM18" i="5"/>
  <c r="RL18" i="5"/>
  <c r="RK18" i="5"/>
  <c r="RJ18" i="5"/>
  <c r="RI18" i="5"/>
  <c r="RH18" i="5"/>
  <c r="RG18" i="5"/>
  <c r="RF18" i="5"/>
  <c r="RE18" i="5"/>
  <c r="RD18" i="5"/>
  <c r="RC18" i="5"/>
  <c r="RB18" i="5"/>
  <c r="RA18" i="5"/>
  <c r="QZ18" i="5"/>
  <c r="QY18" i="5"/>
  <c r="QX18" i="5"/>
  <c r="QW18" i="5"/>
  <c r="QV18" i="5"/>
  <c r="QU18" i="5"/>
  <c r="QT18" i="5"/>
  <c r="QS18" i="5"/>
  <c r="QR18" i="5"/>
  <c r="QQ18" i="5"/>
  <c r="QP18" i="5"/>
  <c r="QO18" i="5"/>
  <c r="QN18" i="5"/>
  <c r="QM18" i="5"/>
  <c r="QL18" i="5"/>
  <c r="QK18" i="5"/>
  <c r="QJ18" i="5"/>
  <c r="QI18" i="5"/>
  <c r="QH18" i="5"/>
  <c r="QG18" i="5"/>
  <c r="QF18" i="5"/>
  <c r="QE18" i="5"/>
  <c r="QD18" i="5"/>
  <c r="QC18" i="5"/>
  <c r="QB18" i="5"/>
  <c r="QA18" i="5"/>
  <c r="PZ18" i="5"/>
  <c r="PY18" i="5"/>
  <c r="PX18" i="5"/>
  <c r="PW18" i="5"/>
  <c r="PV18" i="5"/>
  <c r="PU18" i="5"/>
  <c r="PT18" i="5"/>
  <c r="PS18" i="5"/>
  <c r="PR18" i="5"/>
  <c r="PQ18" i="5"/>
  <c r="PP18" i="5"/>
  <c r="PO18" i="5"/>
  <c r="PN18" i="5"/>
  <c r="PM18" i="5"/>
  <c r="PL18" i="5"/>
  <c r="PK18" i="5"/>
  <c r="PJ18" i="5"/>
  <c r="PI18" i="5"/>
  <c r="PH18" i="5"/>
  <c r="PG18" i="5"/>
  <c r="PF18" i="5"/>
  <c r="PE18" i="5"/>
  <c r="PD18" i="5"/>
  <c r="PC18" i="5"/>
  <c r="PB18" i="5"/>
  <c r="PA18" i="5"/>
  <c r="OZ18" i="5"/>
  <c r="OY18" i="5"/>
  <c r="OX18" i="5"/>
  <c r="OW18" i="5"/>
  <c r="OV18" i="5"/>
  <c r="OU18" i="5"/>
  <c r="OT18" i="5"/>
  <c r="OS18" i="5"/>
  <c r="OR18" i="5"/>
  <c r="OQ18" i="5"/>
  <c r="OP18" i="5"/>
  <c r="OO18" i="5"/>
  <c r="ON18" i="5"/>
  <c r="OM18" i="5"/>
  <c r="OL18" i="5"/>
  <c r="OK18" i="5"/>
  <c r="OJ18" i="5"/>
  <c r="OI18" i="5"/>
  <c r="OH18" i="5"/>
  <c r="OG18" i="5"/>
  <c r="OF18" i="5"/>
  <c r="OE18" i="5"/>
  <c r="OD18" i="5"/>
  <c r="OC18" i="5"/>
  <c r="OB18" i="5"/>
  <c r="OA18" i="5"/>
  <c r="NZ18" i="5"/>
  <c r="NY18" i="5"/>
  <c r="NX18" i="5"/>
  <c r="NW18" i="5"/>
  <c r="NV18" i="5"/>
  <c r="NU18" i="5"/>
  <c r="NT18" i="5"/>
  <c r="NS18" i="5"/>
  <c r="NR18" i="5"/>
  <c r="NQ18" i="5"/>
  <c r="NP18" i="5"/>
  <c r="NO18" i="5"/>
  <c r="NN18" i="5"/>
  <c r="NM18" i="5"/>
  <c r="NL18" i="5"/>
  <c r="NK18" i="5"/>
  <c r="NJ18" i="5"/>
  <c r="NI18" i="5"/>
  <c r="NH18" i="5"/>
  <c r="NG18" i="5"/>
  <c r="NF18" i="5"/>
  <c r="NE18" i="5"/>
  <c r="ND18" i="5"/>
  <c r="NC18" i="5"/>
  <c r="NB18" i="5"/>
  <c r="NA18" i="5"/>
  <c r="MZ18" i="5"/>
  <c r="MY18" i="5"/>
  <c r="MX18" i="5"/>
  <c r="MW18" i="5"/>
  <c r="MV18" i="5"/>
  <c r="MU18" i="5"/>
  <c r="MT18" i="5"/>
  <c r="MS18" i="5"/>
  <c r="MR18" i="5"/>
  <c r="MQ18" i="5"/>
  <c r="MP18" i="5"/>
  <c r="MO18" i="5"/>
  <c r="MN18" i="5"/>
  <c r="MM18" i="5"/>
  <c r="ML18" i="5"/>
  <c r="MK18" i="5"/>
  <c r="MJ18" i="5"/>
  <c r="MI18" i="5"/>
  <c r="MH18" i="5"/>
  <c r="MG18" i="5"/>
  <c r="MF18" i="5"/>
  <c r="ME18" i="5"/>
  <c r="MD18" i="5"/>
  <c r="MC18" i="5"/>
  <c r="MB18" i="5"/>
  <c r="MA18" i="5"/>
  <c r="LZ18" i="5"/>
  <c r="LY18" i="5"/>
  <c r="LX18" i="5"/>
  <c r="LW18" i="5"/>
  <c r="LV18" i="5"/>
  <c r="LU18" i="5"/>
  <c r="LT18" i="5"/>
  <c r="LS18" i="5"/>
  <c r="LR18" i="5"/>
  <c r="LQ18" i="5"/>
  <c r="LP18" i="5"/>
  <c r="LO18" i="5"/>
  <c r="LN18" i="5"/>
  <c r="LM18" i="5"/>
  <c r="LL18" i="5"/>
  <c r="LK18" i="5"/>
  <c r="LJ18" i="5"/>
  <c r="LI18" i="5"/>
  <c r="LH18" i="5"/>
  <c r="LG18" i="5"/>
  <c r="LF18" i="5"/>
  <c r="LE18" i="5"/>
  <c r="LD18" i="5"/>
  <c r="LC18" i="5"/>
  <c r="LB18" i="5"/>
  <c r="LA18" i="5"/>
  <c r="KZ18" i="5"/>
  <c r="KY18" i="5"/>
  <c r="KX18" i="5"/>
  <c r="KW18" i="5"/>
  <c r="KV18" i="5"/>
  <c r="KU18" i="5"/>
  <c r="KT18" i="5"/>
  <c r="KS18" i="5"/>
  <c r="KR18" i="5"/>
  <c r="KQ18" i="5"/>
  <c r="KP18" i="5"/>
  <c r="KO18" i="5"/>
  <c r="KN18" i="5"/>
  <c r="KM18" i="5"/>
  <c r="KL18" i="5"/>
  <c r="KK18" i="5"/>
  <c r="KJ18" i="5"/>
  <c r="KI18" i="5"/>
  <c r="KH18" i="5"/>
  <c r="KG18" i="5"/>
  <c r="KF18" i="5"/>
  <c r="KE18" i="5"/>
  <c r="KD18" i="5"/>
  <c r="KC18" i="5"/>
  <c r="KB18" i="5"/>
  <c r="KA18" i="5"/>
  <c r="JZ18" i="5"/>
  <c r="JY18" i="5"/>
  <c r="JX18" i="5"/>
  <c r="JW18" i="5"/>
  <c r="JV18" i="5"/>
  <c r="JU18" i="5"/>
  <c r="JT18" i="5"/>
  <c r="JS18" i="5"/>
  <c r="JR18" i="5"/>
  <c r="JQ18" i="5"/>
  <c r="JP18" i="5"/>
  <c r="JO18" i="5"/>
  <c r="JN18" i="5"/>
  <c r="JM18" i="5"/>
  <c r="JL18" i="5"/>
  <c r="JK18" i="5"/>
  <c r="JJ18" i="5"/>
  <c r="JI18" i="5"/>
  <c r="JH18" i="5"/>
  <c r="JG18" i="5"/>
  <c r="JF18" i="5"/>
  <c r="JE18" i="5"/>
  <c r="JD18" i="5"/>
  <c r="JC18" i="5"/>
  <c r="JB18" i="5"/>
  <c r="JA18" i="5"/>
  <c r="IZ18" i="5"/>
  <c r="IY18" i="5"/>
  <c r="IX18" i="5"/>
  <c r="IW18" i="5"/>
  <c r="IV18" i="5"/>
  <c r="IU18" i="5"/>
  <c r="IT18" i="5"/>
  <c r="IS18" i="5"/>
  <c r="IR18" i="5"/>
  <c r="IQ18" i="5"/>
  <c r="IP18" i="5"/>
  <c r="IO18" i="5"/>
  <c r="IN18" i="5"/>
  <c r="IM18" i="5"/>
  <c r="IL18" i="5"/>
  <c r="IK18" i="5"/>
  <c r="IJ18" i="5"/>
  <c r="II18" i="5"/>
  <c r="IH18" i="5"/>
  <c r="IG18" i="5"/>
  <c r="IF18" i="5"/>
  <c r="IE18" i="5"/>
  <c r="ID18" i="5"/>
  <c r="IC18" i="5"/>
  <c r="IB18" i="5"/>
  <c r="IA18" i="5"/>
  <c r="HZ18" i="5"/>
  <c r="HY18" i="5"/>
  <c r="HX18" i="5"/>
  <c r="HW18" i="5"/>
  <c r="HV18" i="5"/>
  <c r="HU18" i="5"/>
  <c r="HT18" i="5"/>
  <c r="HS18" i="5"/>
  <c r="HR18" i="5"/>
  <c r="HQ18" i="5"/>
  <c r="HP18" i="5"/>
  <c r="HO18" i="5"/>
  <c r="HN18" i="5"/>
  <c r="HM18" i="5"/>
  <c r="HL18" i="5"/>
  <c r="HK18" i="5"/>
  <c r="HJ18" i="5"/>
  <c r="HI18" i="5"/>
  <c r="HH18" i="5"/>
  <c r="HG18" i="5"/>
  <c r="HF18" i="5"/>
  <c r="HE18" i="5"/>
  <c r="HD18" i="5"/>
  <c r="HC18" i="5"/>
  <c r="HB18" i="5"/>
  <c r="HA18" i="5"/>
  <c r="GZ18" i="5"/>
  <c r="GY18" i="5"/>
  <c r="GX18" i="5"/>
  <c r="GW18" i="5"/>
  <c r="GV18" i="5"/>
  <c r="GU18" i="5"/>
  <c r="GT18" i="5"/>
  <c r="GS18" i="5"/>
  <c r="GR18" i="5"/>
  <c r="GQ18" i="5"/>
  <c r="GP18" i="5"/>
  <c r="GO18" i="5"/>
  <c r="GN18" i="5"/>
  <c r="GM18" i="5"/>
  <c r="GL18" i="5"/>
  <c r="GK18" i="5"/>
  <c r="GJ18" i="5"/>
  <c r="GI18" i="5"/>
  <c r="GH18" i="5"/>
  <c r="GG18" i="5"/>
  <c r="GF18" i="5"/>
  <c r="GE18" i="5"/>
  <c r="GD18" i="5"/>
  <c r="GC18" i="5"/>
  <c r="GB18" i="5"/>
  <c r="GA18" i="5"/>
  <c r="FZ18" i="5"/>
  <c r="FY18" i="5"/>
  <c r="FX18" i="5"/>
  <c r="FW18" i="5"/>
  <c r="FV18" i="5"/>
  <c r="FU18" i="5"/>
  <c r="FT18" i="5"/>
  <c r="FS18" i="5"/>
  <c r="FR18" i="5"/>
  <c r="FQ18" i="5"/>
  <c r="FP18" i="5"/>
  <c r="FO18" i="5"/>
  <c r="FN18" i="5"/>
  <c r="FM18" i="5"/>
  <c r="FL18" i="5"/>
  <c r="FK18" i="5"/>
  <c r="FJ18" i="5"/>
  <c r="FI18" i="5"/>
  <c r="FH18" i="5"/>
  <c r="FG18" i="5"/>
  <c r="FF18" i="5"/>
  <c r="FE18" i="5"/>
  <c r="FD18" i="5"/>
  <c r="FC18" i="5"/>
  <c r="FB18" i="5"/>
  <c r="FA18" i="5"/>
  <c r="EZ18" i="5"/>
  <c r="EY18" i="5"/>
  <c r="EX18" i="5"/>
  <c r="EW18" i="5"/>
  <c r="EV18" i="5"/>
  <c r="EU18" i="5"/>
  <c r="ET18" i="5"/>
  <c r="ES18" i="5"/>
  <c r="ER18" i="5"/>
  <c r="EQ18" i="5"/>
  <c r="EP18" i="5"/>
  <c r="EO18" i="5"/>
  <c r="EN18" i="5"/>
  <c r="EM18" i="5"/>
  <c r="EL18" i="5"/>
  <c r="EK18" i="5"/>
  <c r="EJ18" i="5"/>
  <c r="EI18" i="5"/>
  <c r="EH18" i="5"/>
  <c r="EG18" i="5"/>
  <c r="EF18" i="5"/>
  <c r="EE18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SG17" i="5"/>
  <c r="SF17" i="5"/>
  <c r="SE17" i="5"/>
  <c r="SD17" i="5"/>
  <c r="SC17" i="5"/>
  <c r="SB17" i="5"/>
  <c r="SA17" i="5"/>
  <c r="RZ17" i="5"/>
  <c r="RY17" i="5"/>
  <c r="RX17" i="5"/>
  <c r="RW17" i="5"/>
  <c r="RV17" i="5"/>
  <c r="RU17" i="5"/>
  <c r="RT17" i="5"/>
  <c r="RS17" i="5"/>
  <c r="RR17" i="5"/>
  <c r="RQ17" i="5"/>
  <c r="RP17" i="5"/>
  <c r="RO17" i="5"/>
  <c r="RN17" i="5"/>
  <c r="RM17" i="5"/>
  <c r="RL17" i="5"/>
  <c r="RK17" i="5"/>
  <c r="RJ17" i="5"/>
  <c r="RI17" i="5"/>
  <c r="RH17" i="5"/>
  <c r="RG17" i="5"/>
  <c r="RF17" i="5"/>
  <c r="RE17" i="5"/>
  <c r="RD17" i="5"/>
  <c r="RC17" i="5"/>
  <c r="RB17" i="5"/>
  <c r="RA17" i="5"/>
  <c r="QZ17" i="5"/>
  <c r="QY17" i="5"/>
  <c r="QX17" i="5"/>
  <c r="QW17" i="5"/>
  <c r="QV17" i="5"/>
  <c r="QU17" i="5"/>
  <c r="QT17" i="5"/>
  <c r="QS17" i="5"/>
  <c r="QR17" i="5"/>
  <c r="QQ17" i="5"/>
  <c r="QP17" i="5"/>
  <c r="QO17" i="5"/>
  <c r="QN17" i="5"/>
  <c r="QM17" i="5"/>
  <c r="QL17" i="5"/>
  <c r="QK17" i="5"/>
  <c r="QJ17" i="5"/>
  <c r="QI17" i="5"/>
  <c r="QH17" i="5"/>
  <c r="QG17" i="5"/>
  <c r="QF17" i="5"/>
  <c r="QE17" i="5"/>
  <c r="QD17" i="5"/>
  <c r="QC17" i="5"/>
  <c r="QB17" i="5"/>
  <c r="QA17" i="5"/>
  <c r="PZ17" i="5"/>
  <c r="PY17" i="5"/>
  <c r="PX17" i="5"/>
  <c r="PW17" i="5"/>
  <c r="PV17" i="5"/>
  <c r="PU17" i="5"/>
  <c r="PT17" i="5"/>
  <c r="PS17" i="5"/>
  <c r="PR17" i="5"/>
  <c r="PQ17" i="5"/>
  <c r="PP17" i="5"/>
  <c r="PO17" i="5"/>
  <c r="PN17" i="5"/>
  <c r="PM17" i="5"/>
  <c r="PL17" i="5"/>
  <c r="PK17" i="5"/>
  <c r="PJ17" i="5"/>
  <c r="PI17" i="5"/>
  <c r="PH17" i="5"/>
  <c r="PG17" i="5"/>
  <c r="PF17" i="5"/>
  <c r="PE17" i="5"/>
  <c r="PD17" i="5"/>
  <c r="PC17" i="5"/>
  <c r="PB17" i="5"/>
  <c r="PA17" i="5"/>
  <c r="OZ17" i="5"/>
  <c r="OY17" i="5"/>
  <c r="OX17" i="5"/>
  <c r="OW17" i="5"/>
  <c r="OV17" i="5"/>
  <c r="OU17" i="5"/>
  <c r="OT17" i="5"/>
  <c r="OS17" i="5"/>
  <c r="OR17" i="5"/>
  <c r="OQ17" i="5"/>
  <c r="OP17" i="5"/>
  <c r="OO17" i="5"/>
  <c r="ON17" i="5"/>
  <c r="OM17" i="5"/>
  <c r="OL17" i="5"/>
  <c r="OK17" i="5"/>
  <c r="OJ17" i="5"/>
  <c r="OI17" i="5"/>
  <c r="OH17" i="5"/>
  <c r="OG17" i="5"/>
  <c r="OF17" i="5"/>
  <c r="OE17" i="5"/>
  <c r="OD17" i="5"/>
  <c r="OC17" i="5"/>
  <c r="OB17" i="5"/>
  <c r="OA17" i="5"/>
  <c r="NZ17" i="5"/>
  <c r="NY17" i="5"/>
  <c r="NX17" i="5"/>
  <c r="NW17" i="5"/>
  <c r="NV17" i="5"/>
  <c r="NU17" i="5"/>
  <c r="NT17" i="5"/>
  <c r="NS17" i="5"/>
  <c r="NR17" i="5"/>
  <c r="NQ17" i="5"/>
  <c r="NP17" i="5"/>
  <c r="NO17" i="5"/>
  <c r="NN17" i="5"/>
  <c r="NM17" i="5"/>
  <c r="NL17" i="5"/>
  <c r="NK17" i="5"/>
  <c r="NJ17" i="5"/>
  <c r="NI17" i="5"/>
  <c r="NH17" i="5"/>
  <c r="NG17" i="5"/>
  <c r="NF17" i="5"/>
  <c r="NE17" i="5"/>
  <c r="ND17" i="5"/>
  <c r="NC17" i="5"/>
  <c r="NB17" i="5"/>
  <c r="NA17" i="5"/>
  <c r="MZ17" i="5"/>
  <c r="MY17" i="5"/>
  <c r="MX17" i="5"/>
  <c r="MW17" i="5"/>
  <c r="MV17" i="5"/>
  <c r="MU17" i="5"/>
  <c r="MT17" i="5"/>
  <c r="MS17" i="5"/>
  <c r="MR17" i="5"/>
  <c r="MQ17" i="5"/>
  <c r="MP17" i="5"/>
  <c r="MO17" i="5"/>
  <c r="MN17" i="5"/>
  <c r="MM17" i="5"/>
  <c r="ML17" i="5"/>
  <c r="MK17" i="5"/>
  <c r="MJ17" i="5"/>
  <c r="MI17" i="5"/>
  <c r="MH17" i="5"/>
  <c r="MG17" i="5"/>
  <c r="MF17" i="5"/>
  <c r="ME17" i="5"/>
  <c r="MD17" i="5"/>
  <c r="MC17" i="5"/>
  <c r="MB17" i="5"/>
  <c r="MA17" i="5"/>
  <c r="LZ17" i="5"/>
  <c r="LY17" i="5"/>
  <c r="LX17" i="5"/>
  <c r="LW17" i="5"/>
  <c r="LV17" i="5"/>
  <c r="LU17" i="5"/>
  <c r="LT17" i="5"/>
  <c r="LS17" i="5"/>
  <c r="LR17" i="5"/>
  <c r="LQ17" i="5"/>
  <c r="LP17" i="5"/>
  <c r="LO17" i="5"/>
  <c r="LN17" i="5"/>
  <c r="LM17" i="5"/>
  <c r="LL17" i="5"/>
  <c r="LK17" i="5"/>
  <c r="LJ17" i="5"/>
  <c r="LI17" i="5"/>
  <c r="LH17" i="5"/>
  <c r="LG17" i="5"/>
  <c r="LF17" i="5"/>
  <c r="LE17" i="5"/>
  <c r="LD17" i="5"/>
  <c r="LC17" i="5"/>
  <c r="LB17" i="5"/>
  <c r="LA17" i="5"/>
  <c r="KZ17" i="5"/>
  <c r="KY17" i="5"/>
  <c r="KX17" i="5"/>
  <c r="KW17" i="5"/>
  <c r="KV17" i="5"/>
  <c r="KU17" i="5"/>
  <c r="KT17" i="5"/>
  <c r="KS17" i="5"/>
  <c r="KR17" i="5"/>
  <c r="KQ17" i="5"/>
  <c r="KP17" i="5"/>
  <c r="KO17" i="5"/>
  <c r="KN17" i="5"/>
  <c r="KM17" i="5"/>
  <c r="KL17" i="5"/>
  <c r="KK17" i="5"/>
  <c r="KJ17" i="5"/>
  <c r="KI17" i="5"/>
  <c r="KH17" i="5"/>
  <c r="KG17" i="5"/>
  <c r="KF17" i="5"/>
  <c r="KE17" i="5"/>
  <c r="KD17" i="5"/>
  <c r="KC17" i="5"/>
  <c r="KB17" i="5"/>
  <c r="KA17" i="5"/>
  <c r="JZ17" i="5"/>
  <c r="JY17" i="5"/>
  <c r="JX17" i="5"/>
  <c r="JW17" i="5"/>
  <c r="JV17" i="5"/>
  <c r="JU17" i="5"/>
  <c r="JT17" i="5"/>
  <c r="JS17" i="5"/>
  <c r="JR17" i="5"/>
  <c r="JQ17" i="5"/>
  <c r="JP17" i="5"/>
  <c r="JO17" i="5"/>
  <c r="JN17" i="5"/>
  <c r="JM17" i="5"/>
  <c r="JL17" i="5"/>
  <c r="JK17" i="5"/>
  <c r="JJ17" i="5"/>
  <c r="JI17" i="5"/>
  <c r="JH17" i="5"/>
  <c r="JG17" i="5"/>
  <c r="JF17" i="5"/>
  <c r="JE17" i="5"/>
  <c r="JD17" i="5"/>
  <c r="JC17" i="5"/>
  <c r="JB17" i="5"/>
  <c r="JA17" i="5"/>
  <c r="IZ17" i="5"/>
  <c r="IY17" i="5"/>
  <c r="IX17" i="5"/>
  <c r="IW17" i="5"/>
  <c r="IV17" i="5"/>
  <c r="IU17" i="5"/>
  <c r="IT17" i="5"/>
  <c r="IS17" i="5"/>
  <c r="IR17" i="5"/>
  <c r="IQ17" i="5"/>
  <c r="IP17" i="5"/>
  <c r="IO17" i="5"/>
  <c r="IN17" i="5"/>
  <c r="IM17" i="5"/>
  <c r="IL17" i="5"/>
  <c r="IK17" i="5"/>
  <c r="IJ17" i="5"/>
  <c r="II17" i="5"/>
  <c r="IH17" i="5"/>
  <c r="IG17" i="5"/>
  <c r="IF17" i="5"/>
  <c r="IE17" i="5"/>
  <c r="ID17" i="5"/>
  <c r="IC17" i="5"/>
  <c r="IB17" i="5"/>
  <c r="IA17" i="5"/>
  <c r="HZ17" i="5"/>
  <c r="HY17" i="5"/>
  <c r="HX17" i="5"/>
  <c r="HW17" i="5"/>
  <c r="HV17" i="5"/>
  <c r="HU17" i="5"/>
  <c r="HT17" i="5"/>
  <c r="HS17" i="5"/>
  <c r="HR17" i="5"/>
  <c r="HQ17" i="5"/>
  <c r="HP17" i="5"/>
  <c r="HO17" i="5"/>
  <c r="HN17" i="5"/>
  <c r="HM17" i="5"/>
  <c r="HL17" i="5"/>
  <c r="HK17" i="5"/>
  <c r="HJ17" i="5"/>
  <c r="HI17" i="5"/>
  <c r="HH17" i="5"/>
  <c r="HG17" i="5"/>
  <c r="HF17" i="5"/>
  <c r="HE17" i="5"/>
  <c r="HD17" i="5"/>
  <c r="HC17" i="5"/>
  <c r="HB17" i="5"/>
  <c r="HA17" i="5"/>
  <c r="GZ17" i="5"/>
  <c r="GY17" i="5"/>
  <c r="GX17" i="5"/>
  <c r="GW17" i="5"/>
  <c r="GV17" i="5"/>
  <c r="GU17" i="5"/>
  <c r="GT17" i="5"/>
  <c r="GS17" i="5"/>
  <c r="GR17" i="5"/>
  <c r="GQ17" i="5"/>
  <c r="GP17" i="5"/>
  <c r="GO17" i="5"/>
  <c r="GN17" i="5"/>
  <c r="GM17" i="5"/>
  <c r="GL17" i="5"/>
  <c r="GK17" i="5"/>
  <c r="GJ17" i="5"/>
  <c r="GI17" i="5"/>
  <c r="GH17" i="5"/>
  <c r="GG17" i="5"/>
  <c r="GF17" i="5"/>
  <c r="GE17" i="5"/>
  <c r="GD17" i="5"/>
  <c r="GC17" i="5"/>
  <c r="GB17" i="5"/>
  <c r="GA17" i="5"/>
  <c r="FZ17" i="5"/>
  <c r="FY17" i="5"/>
  <c r="FX17" i="5"/>
  <c r="FW17" i="5"/>
  <c r="FV17" i="5"/>
  <c r="FU17" i="5"/>
  <c r="FT17" i="5"/>
  <c r="FS17" i="5"/>
  <c r="FR17" i="5"/>
  <c r="FQ17" i="5"/>
  <c r="FP17" i="5"/>
  <c r="FO17" i="5"/>
  <c r="FN17" i="5"/>
  <c r="FM17" i="5"/>
  <c r="FL17" i="5"/>
  <c r="FK17" i="5"/>
  <c r="FJ17" i="5"/>
  <c r="FI17" i="5"/>
  <c r="FH17" i="5"/>
  <c r="FG17" i="5"/>
  <c r="FF17" i="5"/>
  <c r="FE17" i="5"/>
  <c r="FD17" i="5"/>
  <c r="FC17" i="5"/>
  <c r="FB17" i="5"/>
  <c r="FA17" i="5"/>
  <c r="EZ17" i="5"/>
  <c r="EY17" i="5"/>
  <c r="EX17" i="5"/>
  <c r="EW17" i="5"/>
  <c r="EV17" i="5"/>
  <c r="EU17" i="5"/>
  <c r="ET17" i="5"/>
  <c r="ES17" i="5"/>
  <c r="ER17" i="5"/>
  <c r="EQ17" i="5"/>
  <c r="EP17" i="5"/>
  <c r="EO17" i="5"/>
  <c r="EN17" i="5"/>
  <c r="EM17" i="5"/>
  <c r="EL17" i="5"/>
  <c r="EK17" i="5"/>
  <c r="EJ17" i="5"/>
  <c r="EI17" i="5"/>
  <c r="EH17" i="5"/>
  <c r="EG17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SG16" i="5"/>
  <c r="SF16" i="5"/>
  <c r="SE16" i="5"/>
  <c r="SD16" i="5"/>
  <c r="SC16" i="5"/>
  <c r="SB16" i="5"/>
  <c r="SA16" i="5"/>
  <c r="RZ16" i="5"/>
  <c r="RY16" i="5"/>
  <c r="RX16" i="5"/>
  <c r="RW16" i="5"/>
  <c r="RV16" i="5"/>
  <c r="RU16" i="5"/>
  <c r="RT16" i="5"/>
  <c r="RS16" i="5"/>
  <c r="RR16" i="5"/>
  <c r="RQ16" i="5"/>
  <c r="RP16" i="5"/>
  <c r="RO16" i="5"/>
  <c r="RN16" i="5"/>
  <c r="RM16" i="5"/>
  <c r="RL16" i="5"/>
  <c r="RK16" i="5"/>
  <c r="RJ16" i="5"/>
  <c r="RI16" i="5"/>
  <c r="RH16" i="5"/>
  <c r="RG16" i="5"/>
  <c r="RF16" i="5"/>
  <c r="RE16" i="5"/>
  <c r="RD16" i="5"/>
  <c r="RC16" i="5"/>
  <c r="RB16" i="5"/>
  <c r="RA16" i="5"/>
  <c r="QZ16" i="5"/>
  <c r="QY16" i="5"/>
  <c r="QX16" i="5"/>
  <c r="QW16" i="5"/>
  <c r="QV16" i="5"/>
  <c r="QU16" i="5"/>
  <c r="QT16" i="5"/>
  <c r="QS16" i="5"/>
  <c r="QR16" i="5"/>
  <c r="QQ16" i="5"/>
  <c r="QP16" i="5"/>
  <c r="QO16" i="5"/>
  <c r="QN16" i="5"/>
  <c r="QM16" i="5"/>
  <c r="QL16" i="5"/>
  <c r="QK16" i="5"/>
  <c r="QJ16" i="5"/>
  <c r="QI16" i="5"/>
  <c r="QH16" i="5"/>
  <c r="QG16" i="5"/>
  <c r="QF16" i="5"/>
  <c r="QE16" i="5"/>
  <c r="QD16" i="5"/>
  <c r="QC16" i="5"/>
  <c r="QB16" i="5"/>
  <c r="QA16" i="5"/>
  <c r="PZ16" i="5"/>
  <c r="PY16" i="5"/>
  <c r="PX16" i="5"/>
  <c r="PW16" i="5"/>
  <c r="PV16" i="5"/>
  <c r="PU16" i="5"/>
  <c r="PT16" i="5"/>
  <c r="PS16" i="5"/>
  <c r="PR16" i="5"/>
  <c r="PQ16" i="5"/>
  <c r="PP16" i="5"/>
  <c r="PO16" i="5"/>
  <c r="PN16" i="5"/>
  <c r="PM16" i="5"/>
  <c r="PL16" i="5"/>
  <c r="PK16" i="5"/>
  <c r="PJ16" i="5"/>
  <c r="PI16" i="5"/>
  <c r="PH16" i="5"/>
  <c r="PG16" i="5"/>
  <c r="PF16" i="5"/>
  <c r="PE16" i="5"/>
  <c r="PD16" i="5"/>
  <c r="PC16" i="5"/>
  <c r="PB16" i="5"/>
  <c r="PA16" i="5"/>
  <c r="OZ16" i="5"/>
  <c r="OY16" i="5"/>
  <c r="OX16" i="5"/>
  <c r="OW16" i="5"/>
  <c r="OV16" i="5"/>
  <c r="OU16" i="5"/>
  <c r="OT16" i="5"/>
  <c r="OS16" i="5"/>
  <c r="OR16" i="5"/>
  <c r="OQ16" i="5"/>
  <c r="OP16" i="5"/>
  <c r="OO16" i="5"/>
  <c r="ON16" i="5"/>
  <c r="OM16" i="5"/>
  <c r="OL16" i="5"/>
  <c r="OK16" i="5"/>
  <c r="OJ16" i="5"/>
  <c r="OI16" i="5"/>
  <c r="OH16" i="5"/>
  <c r="OG16" i="5"/>
  <c r="OF16" i="5"/>
  <c r="OE16" i="5"/>
  <c r="OD16" i="5"/>
  <c r="OC16" i="5"/>
  <c r="OB16" i="5"/>
  <c r="OA16" i="5"/>
  <c r="NZ16" i="5"/>
  <c r="NY16" i="5"/>
  <c r="NX16" i="5"/>
  <c r="NW16" i="5"/>
  <c r="NV16" i="5"/>
  <c r="NU16" i="5"/>
  <c r="NT16" i="5"/>
  <c r="NS16" i="5"/>
  <c r="NR16" i="5"/>
  <c r="NQ16" i="5"/>
  <c r="NP16" i="5"/>
  <c r="NO16" i="5"/>
  <c r="NN16" i="5"/>
  <c r="NM16" i="5"/>
  <c r="NL16" i="5"/>
  <c r="NK16" i="5"/>
  <c r="NJ16" i="5"/>
  <c r="NI16" i="5"/>
  <c r="NH16" i="5"/>
  <c r="NG16" i="5"/>
  <c r="NF16" i="5"/>
  <c r="NE16" i="5"/>
  <c r="ND16" i="5"/>
  <c r="NC16" i="5"/>
  <c r="NB16" i="5"/>
  <c r="NA16" i="5"/>
  <c r="MZ16" i="5"/>
  <c r="MY16" i="5"/>
  <c r="MX16" i="5"/>
  <c r="MW16" i="5"/>
  <c r="MV16" i="5"/>
  <c r="MU16" i="5"/>
  <c r="MT16" i="5"/>
  <c r="MS16" i="5"/>
  <c r="MR16" i="5"/>
  <c r="MQ16" i="5"/>
  <c r="MP16" i="5"/>
  <c r="MO16" i="5"/>
  <c r="MN16" i="5"/>
  <c r="MM16" i="5"/>
  <c r="ML16" i="5"/>
  <c r="MK16" i="5"/>
  <c r="MJ16" i="5"/>
  <c r="MI16" i="5"/>
  <c r="MH16" i="5"/>
  <c r="MG16" i="5"/>
  <c r="MF16" i="5"/>
  <c r="ME16" i="5"/>
  <c r="MD16" i="5"/>
  <c r="MC16" i="5"/>
  <c r="MB16" i="5"/>
  <c r="MA16" i="5"/>
  <c r="LZ16" i="5"/>
  <c r="LY16" i="5"/>
  <c r="LX16" i="5"/>
  <c r="LW16" i="5"/>
  <c r="LV16" i="5"/>
  <c r="LU16" i="5"/>
  <c r="LT16" i="5"/>
  <c r="LS16" i="5"/>
  <c r="LR16" i="5"/>
  <c r="LQ16" i="5"/>
  <c r="LP16" i="5"/>
  <c r="LO16" i="5"/>
  <c r="LN16" i="5"/>
  <c r="LM16" i="5"/>
  <c r="LL16" i="5"/>
  <c r="LK16" i="5"/>
  <c r="LJ16" i="5"/>
  <c r="LI16" i="5"/>
  <c r="LH16" i="5"/>
  <c r="LG16" i="5"/>
  <c r="LF16" i="5"/>
  <c r="LE16" i="5"/>
  <c r="LD16" i="5"/>
  <c r="LC16" i="5"/>
  <c r="LB16" i="5"/>
  <c r="LA16" i="5"/>
  <c r="KZ16" i="5"/>
  <c r="KY16" i="5"/>
  <c r="KX16" i="5"/>
  <c r="KW16" i="5"/>
  <c r="KV16" i="5"/>
  <c r="KU16" i="5"/>
  <c r="KT16" i="5"/>
  <c r="KS16" i="5"/>
  <c r="KR16" i="5"/>
  <c r="KQ16" i="5"/>
  <c r="KP16" i="5"/>
  <c r="KO16" i="5"/>
  <c r="KN16" i="5"/>
  <c r="KM16" i="5"/>
  <c r="KL16" i="5"/>
  <c r="KK16" i="5"/>
  <c r="KJ16" i="5"/>
  <c r="KI16" i="5"/>
  <c r="KH16" i="5"/>
  <c r="KG16" i="5"/>
  <c r="KF16" i="5"/>
  <c r="KE16" i="5"/>
  <c r="KD16" i="5"/>
  <c r="KC16" i="5"/>
  <c r="KB16" i="5"/>
  <c r="KA16" i="5"/>
  <c r="JZ16" i="5"/>
  <c r="JY16" i="5"/>
  <c r="JX16" i="5"/>
  <c r="JW16" i="5"/>
  <c r="JV16" i="5"/>
  <c r="JU16" i="5"/>
  <c r="JT16" i="5"/>
  <c r="JS16" i="5"/>
  <c r="JR16" i="5"/>
  <c r="JQ16" i="5"/>
  <c r="JP16" i="5"/>
  <c r="JO16" i="5"/>
  <c r="JN16" i="5"/>
  <c r="JM16" i="5"/>
  <c r="JL16" i="5"/>
  <c r="JK16" i="5"/>
  <c r="JJ16" i="5"/>
  <c r="JI16" i="5"/>
  <c r="JH16" i="5"/>
  <c r="JG16" i="5"/>
  <c r="JF16" i="5"/>
  <c r="JE16" i="5"/>
  <c r="JD16" i="5"/>
  <c r="JC16" i="5"/>
  <c r="JB16" i="5"/>
  <c r="JA16" i="5"/>
  <c r="IZ16" i="5"/>
  <c r="IY16" i="5"/>
  <c r="IX16" i="5"/>
  <c r="IW16" i="5"/>
  <c r="IV16" i="5"/>
  <c r="IU16" i="5"/>
  <c r="IT16" i="5"/>
  <c r="IS16" i="5"/>
  <c r="IR16" i="5"/>
  <c r="IQ16" i="5"/>
  <c r="IP16" i="5"/>
  <c r="IO16" i="5"/>
  <c r="IN16" i="5"/>
  <c r="IM16" i="5"/>
  <c r="IL16" i="5"/>
  <c r="IK16" i="5"/>
  <c r="IJ16" i="5"/>
  <c r="II16" i="5"/>
  <c r="IH16" i="5"/>
  <c r="IG16" i="5"/>
  <c r="IF16" i="5"/>
  <c r="IE16" i="5"/>
  <c r="ID16" i="5"/>
  <c r="IC16" i="5"/>
  <c r="IB16" i="5"/>
  <c r="IA16" i="5"/>
  <c r="HZ16" i="5"/>
  <c r="HY16" i="5"/>
  <c r="HX16" i="5"/>
  <c r="HW16" i="5"/>
  <c r="HV16" i="5"/>
  <c r="HU16" i="5"/>
  <c r="HT16" i="5"/>
  <c r="HS16" i="5"/>
  <c r="HR16" i="5"/>
  <c r="HQ16" i="5"/>
  <c r="HP16" i="5"/>
  <c r="HO16" i="5"/>
  <c r="HN16" i="5"/>
  <c r="HM16" i="5"/>
  <c r="HL16" i="5"/>
  <c r="HK16" i="5"/>
  <c r="HJ16" i="5"/>
  <c r="HI16" i="5"/>
  <c r="HH16" i="5"/>
  <c r="HG16" i="5"/>
  <c r="HF16" i="5"/>
  <c r="HE16" i="5"/>
  <c r="HD16" i="5"/>
  <c r="HC16" i="5"/>
  <c r="HB16" i="5"/>
  <c r="HA16" i="5"/>
  <c r="GZ16" i="5"/>
  <c r="GY16" i="5"/>
  <c r="GX16" i="5"/>
  <c r="GW16" i="5"/>
  <c r="GV16" i="5"/>
  <c r="GU16" i="5"/>
  <c r="GT16" i="5"/>
  <c r="GS16" i="5"/>
  <c r="GR16" i="5"/>
  <c r="GQ16" i="5"/>
  <c r="GP16" i="5"/>
  <c r="GO16" i="5"/>
  <c r="GN16" i="5"/>
  <c r="GM16" i="5"/>
  <c r="GL16" i="5"/>
  <c r="GK16" i="5"/>
  <c r="GJ16" i="5"/>
  <c r="GI16" i="5"/>
  <c r="GH16" i="5"/>
  <c r="GG16" i="5"/>
  <c r="GF16" i="5"/>
  <c r="GE16" i="5"/>
  <c r="GD16" i="5"/>
  <c r="GC16" i="5"/>
  <c r="GB16" i="5"/>
  <c r="GA16" i="5"/>
  <c r="FZ16" i="5"/>
  <c r="FY16" i="5"/>
  <c r="FX16" i="5"/>
  <c r="FW16" i="5"/>
  <c r="FV16" i="5"/>
  <c r="FU16" i="5"/>
  <c r="FT16" i="5"/>
  <c r="FS16" i="5"/>
  <c r="FR16" i="5"/>
  <c r="FQ16" i="5"/>
  <c r="FP16" i="5"/>
  <c r="FO16" i="5"/>
  <c r="FN16" i="5"/>
  <c r="FM16" i="5"/>
  <c r="FL16" i="5"/>
  <c r="FK16" i="5"/>
  <c r="FJ16" i="5"/>
  <c r="FI16" i="5"/>
  <c r="FH16" i="5"/>
  <c r="FG16" i="5"/>
  <c r="FF16" i="5"/>
  <c r="FE16" i="5"/>
  <c r="FD16" i="5"/>
  <c r="FC16" i="5"/>
  <c r="FB16" i="5"/>
  <c r="FA16" i="5"/>
  <c r="EZ16" i="5"/>
  <c r="EY16" i="5"/>
  <c r="EX16" i="5"/>
  <c r="EW16" i="5"/>
  <c r="EV16" i="5"/>
  <c r="EU16" i="5"/>
  <c r="ET16" i="5"/>
  <c r="ES16" i="5"/>
  <c r="ER16" i="5"/>
  <c r="EQ16" i="5"/>
  <c r="EP16" i="5"/>
  <c r="EO16" i="5"/>
  <c r="EN16" i="5"/>
  <c r="EM16" i="5"/>
  <c r="EL16" i="5"/>
  <c r="EK16" i="5"/>
  <c r="EJ16" i="5"/>
  <c r="EI16" i="5"/>
  <c r="EH16" i="5"/>
  <c r="EG16" i="5"/>
  <c r="EF16" i="5"/>
  <c r="EE16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SG15" i="5"/>
  <c r="SF15" i="5"/>
  <c r="SE15" i="5"/>
  <c r="SD15" i="5"/>
  <c r="SC15" i="5"/>
  <c r="SB15" i="5"/>
  <c r="SA15" i="5"/>
  <c r="RZ15" i="5"/>
  <c r="RY15" i="5"/>
  <c r="RX15" i="5"/>
  <c r="RW15" i="5"/>
  <c r="RV15" i="5"/>
  <c r="RU15" i="5"/>
  <c r="RT15" i="5"/>
  <c r="RS15" i="5"/>
  <c r="RR15" i="5"/>
  <c r="RQ15" i="5"/>
  <c r="RP15" i="5"/>
  <c r="RO15" i="5"/>
  <c r="RN15" i="5"/>
  <c r="RM15" i="5"/>
  <c r="RL15" i="5"/>
  <c r="RK15" i="5"/>
  <c r="RJ15" i="5"/>
  <c r="RI15" i="5"/>
  <c r="RH15" i="5"/>
  <c r="RG15" i="5"/>
  <c r="RF15" i="5"/>
  <c r="RE15" i="5"/>
  <c r="RD15" i="5"/>
  <c r="RC15" i="5"/>
  <c r="RB15" i="5"/>
  <c r="RA15" i="5"/>
  <c r="QZ15" i="5"/>
  <c r="QY15" i="5"/>
  <c r="QX15" i="5"/>
  <c r="QW15" i="5"/>
  <c r="QV15" i="5"/>
  <c r="QU15" i="5"/>
  <c r="QT15" i="5"/>
  <c r="QS15" i="5"/>
  <c r="QR15" i="5"/>
  <c r="QQ15" i="5"/>
  <c r="QP15" i="5"/>
  <c r="QO15" i="5"/>
  <c r="QN15" i="5"/>
  <c r="QM15" i="5"/>
  <c r="QL15" i="5"/>
  <c r="QK15" i="5"/>
  <c r="QJ15" i="5"/>
  <c r="QI15" i="5"/>
  <c r="QH15" i="5"/>
  <c r="QG15" i="5"/>
  <c r="QF15" i="5"/>
  <c r="QE15" i="5"/>
  <c r="QD15" i="5"/>
  <c r="QC15" i="5"/>
  <c r="QB15" i="5"/>
  <c r="QA15" i="5"/>
  <c r="PZ15" i="5"/>
  <c r="PY15" i="5"/>
  <c r="PX15" i="5"/>
  <c r="PW15" i="5"/>
  <c r="PV15" i="5"/>
  <c r="PU15" i="5"/>
  <c r="PT15" i="5"/>
  <c r="PS15" i="5"/>
  <c r="PR15" i="5"/>
  <c r="PQ15" i="5"/>
  <c r="PP15" i="5"/>
  <c r="PO15" i="5"/>
  <c r="PN15" i="5"/>
  <c r="PM15" i="5"/>
  <c r="PL15" i="5"/>
  <c r="PK15" i="5"/>
  <c r="PJ15" i="5"/>
  <c r="PI15" i="5"/>
  <c r="PH15" i="5"/>
  <c r="PG15" i="5"/>
  <c r="PF15" i="5"/>
  <c r="PE15" i="5"/>
  <c r="PD15" i="5"/>
  <c r="PC15" i="5"/>
  <c r="PB15" i="5"/>
  <c r="PA15" i="5"/>
  <c r="OZ15" i="5"/>
  <c r="OY15" i="5"/>
  <c r="OX15" i="5"/>
  <c r="OW15" i="5"/>
  <c r="OV15" i="5"/>
  <c r="OU15" i="5"/>
  <c r="OT15" i="5"/>
  <c r="OS15" i="5"/>
  <c r="OR15" i="5"/>
  <c r="OQ15" i="5"/>
  <c r="OP15" i="5"/>
  <c r="OO15" i="5"/>
  <c r="ON15" i="5"/>
  <c r="OM15" i="5"/>
  <c r="OL15" i="5"/>
  <c r="OK15" i="5"/>
  <c r="OJ15" i="5"/>
  <c r="OI15" i="5"/>
  <c r="OH15" i="5"/>
  <c r="OG15" i="5"/>
  <c r="OF15" i="5"/>
  <c r="OE15" i="5"/>
  <c r="OD15" i="5"/>
  <c r="OC15" i="5"/>
  <c r="OB15" i="5"/>
  <c r="OA15" i="5"/>
  <c r="NZ15" i="5"/>
  <c r="NY15" i="5"/>
  <c r="NX15" i="5"/>
  <c r="NW15" i="5"/>
  <c r="NV15" i="5"/>
  <c r="NU15" i="5"/>
  <c r="NT15" i="5"/>
  <c r="NS15" i="5"/>
  <c r="NR15" i="5"/>
  <c r="NQ15" i="5"/>
  <c r="NP15" i="5"/>
  <c r="NO15" i="5"/>
  <c r="NN15" i="5"/>
  <c r="NM15" i="5"/>
  <c r="NL15" i="5"/>
  <c r="NK15" i="5"/>
  <c r="NJ15" i="5"/>
  <c r="NI15" i="5"/>
  <c r="NH15" i="5"/>
  <c r="NG15" i="5"/>
  <c r="NF15" i="5"/>
  <c r="NE15" i="5"/>
  <c r="ND15" i="5"/>
  <c r="NC15" i="5"/>
  <c r="NB15" i="5"/>
  <c r="NA15" i="5"/>
  <c r="MZ15" i="5"/>
  <c r="MY15" i="5"/>
  <c r="MX15" i="5"/>
  <c r="MW15" i="5"/>
  <c r="MV15" i="5"/>
  <c r="MU15" i="5"/>
  <c r="MT15" i="5"/>
  <c r="MS15" i="5"/>
  <c r="MR15" i="5"/>
  <c r="MQ15" i="5"/>
  <c r="MP15" i="5"/>
  <c r="MO15" i="5"/>
  <c r="MN15" i="5"/>
  <c r="MM15" i="5"/>
  <c r="ML15" i="5"/>
  <c r="MK15" i="5"/>
  <c r="MJ15" i="5"/>
  <c r="MI15" i="5"/>
  <c r="MH15" i="5"/>
  <c r="MG15" i="5"/>
  <c r="MF15" i="5"/>
  <c r="ME15" i="5"/>
  <c r="MD15" i="5"/>
  <c r="MC15" i="5"/>
  <c r="MB15" i="5"/>
  <c r="MA15" i="5"/>
  <c r="LZ15" i="5"/>
  <c r="LY15" i="5"/>
  <c r="LX15" i="5"/>
  <c r="LW15" i="5"/>
  <c r="LV15" i="5"/>
  <c r="LU15" i="5"/>
  <c r="LT15" i="5"/>
  <c r="LS15" i="5"/>
  <c r="LR15" i="5"/>
  <c r="LQ15" i="5"/>
  <c r="LP15" i="5"/>
  <c r="LO15" i="5"/>
  <c r="LN15" i="5"/>
  <c r="LM15" i="5"/>
  <c r="LL15" i="5"/>
  <c r="LK15" i="5"/>
  <c r="LJ15" i="5"/>
  <c r="LI15" i="5"/>
  <c r="LH15" i="5"/>
  <c r="LG15" i="5"/>
  <c r="LF15" i="5"/>
  <c r="LE15" i="5"/>
  <c r="LD15" i="5"/>
  <c r="LC15" i="5"/>
  <c r="LB15" i="5"/>
  <c r="LA15" i="5"/>
  <c r="KZ15" i="5"/>
  <c r="KY15" i="5"/>
  <c r="KX15" i="5"/>
  <c r="KW15" i="5"/>
  <c r="KV15" i="5"/>
  <c r="KU15" i="5"/>
  <c r="KT15" i="5"/>
  <c r="KS15" i="5"/>
  <c r="KR15" i="5"/>
  <c r="KQ15" i="5"/>
  <c r="KP15" i="5"/>
  <c r="KO15" i="5"/>
  <c r="KN15" i="5"/>
  <c r="KM15" i="5"/>
  <c r="KL15" i="5"/>
  <c r="KK15" i="5"/>
  <c r="KJ15" i="5"/>
  <c r="KI15" i="5"/>
  <c r="KH15" i="5"/>
  <c r="KG15" i="5"/>
  <c r="KF15" i="5"/>
  <c r="KE15" i="5"/>
  <c r="KD15" i="5"/>
  <c r="KC15" i="5"/>
  <c r="KB15" i="5"/>
  <c r="KA15" i="5"/>
  <c r="JZ15" i="5"/>
  <c r="JY15" i="5"/>
  <c r="JX15" i="5"/>
  <c r="JW15" i="5"/>
  <c r="JV15" i="5"/>
  <c r="JU15" i="5"/>
  <c r="JT15" i="5"/>
  <c r="JS15" i="5"/>
  <c r="JR15" i="5"/>
  <c r="JQ15" i="5"/>
  <c r="JP15" i="5"/>
  <c r="JO15" i="5"/>
  <c r="JN15" i="5"/>
  <c r="JM15" i="5"/>
  <c r="JL15" i="5"/>
  <c r="JK15" i="5"/>
  <c r="JJ15" i="5"/>
  <c r="JI15" i="5"/>
  <c r="JH15" i="5"/>
  <c r="JG15" i="5"/>
  <c r="JF15" i="5"/>
  <c r="JE15" i="5"/>
  <c r="JD15" i="5"/>
  <c r="JC15" i="5"/>
  <c r="JB15" i="5"/>
  <c r="JA15" i="5"/>
  <c r="IZ15" i="5"/>
  <c r="IY15" i="5"/>
  <c r="IX15" i="5"/>
  <c r="IW15" i="5"/>
  <c r="IV15" i="5"/>
  <c r="IU15" i="5"/>
  <c r="IT15" i="5"/>
  <c r="IS15" i="5"/>
  <c r="IR15" i="5"/>
  <c r="IQ15" i="5"/>
  <c r="IP15" i="5"/>
  <c r="IO15" i="5"/>
  <c r="IN15" i="5"/>
  <c r="IM15" i="5"/>
  <c r="IL15" i="5"/>
  <c r="IK15" i="5"/>
  <c r="IJ15" i="5"/>
  <c r="II15" i="5"/>
  <c r="IH15" i="5"/>
  <c r="IG15" i="5"/>
  <c r="IF15" i="5"/>
  <c r="IE15" i="5"/>
  <c r="ID15" i="5"/>
  <c r="IC15" i="5"/>
  <c r="IB15" i="5"/>
  <c r="IA15" i="5"/>
  <c r="HZ15" i="5"/>
  <c r="HY15" i="5"/>
  <c r="HX15" i="5"/>
  <c r="HW15" i="5"/>
  <c r="HV15" i="5"/>
  <c r="HU15" i="5"/>
  <c r="HT15" i="5"/>
  <c r="HS15" i="5"/>
  <c r="HR15" i="5"/>
  <c r="HQ15" i="5"/>
  <c r="HP15" i="5"/>
  <c r="HO15" i="5"/>
  <c r="HN15" i="5"/>
  <c r="HM15" i="5"/>
  <c r="HL15" i="5"/>
  <c r="HK15" i="5"/>
  <c r="HJ15" i="5"/>
  <c r="HI15" i="5"/>
  <c r="HH15" i="5"/>
  <c r="HG15" i="5"/>
  <c r="HF15" i="5"/>
  <c r="HE15" i="5"/>
  <c r="HD15" i="5"/>
  <c r="HC15" i="5"/>
  <c r="HB15" i="5"/>
  <c r="HA15" i="5"/>
  <c r="GZ15" i="5"/>
  <c r="GY15" i="5"/>
  <c r="GX15" i="5"/>
  <c r="GW15" i="5"/>
  <c r="GV15" i="5"/>
  <c r="GU15" i="5"/>
  <c r="GT15" i="5"/>
  <c r="GS15" i="5"/>
  <c r="GR15" i="5"/>
  <c r="GQ15" i="5"/>
  <c r="GP15" i="5"/>
  <c r="GO15" i="5"/>
  <c r="GN15" i="5"/>
  <c r="GM15" i="5"/>
  <c r="GL15" i="5"/>
  <c r="GK15" i="5"/>
  <c r="GJ15" i="5"/>
  <c r="GI15" i="5"/>
  <c r="GH15" i="5"/>
  <c r="GG15" i="5"/>
  <c r="GF15" i="5"/>
  <c r="GE15" i="5"/>
  <c r="GD15" i="5"/>
  <c r="GC15" i="5"/>
  <c r="GB15" i="5"/>
  <c r="GA15" i="5"/>
  <c r="FZ15" i="5"/>
  <c r="FY15" i="5"/>
  <c r="FX15" i="5"/>
  <c r="FW15" i="5"/>
  <c r="FV15" i="5"/>
  <c r="FU15" i="5"/>
  <c r="FT15" i="5"/>
  <c r="FS15" i="5"/>
  <c r="FR15" i="5"/>
  <c r="FQ15" i="5"/>
  <c r="FP15" i="5"/>
  <c r="FO15" i="5"/>
  <c r="FN15" i="5"/>
  <c r="FM15" i="5"/>
  <c r="FL15" i="5"/>
  <c r="FK15" i="5"/>
  <c r="FJ15" i="5"/>
  <c r="FI15" i="5"/>
  <c r="FH15" i="5"/>
  <c r="FG15" i="5"/>
  <c r="FF15" i="5"/>
  <c r="FE15" i="5"/>
  <c r="FD15" i="5"/>
  <c r="FC15" i="5"/>
  <c r="FB15" i="5"/>
  <c r="FA15" i="5"/>
  <c r="EZ15" i="5"/>
  <c r="EY15" i="5"/>
  <c r="EX15" i="5"/>
  <c r="EW15" i="5"/>
  <c r="EV15" i="5"/>
  <c r="EU15" i="5"/>
  <c r="ET15" i="5"/>
  <c r="ES15" i="5"/>
  <c r="ER15" i="5"/>
  <c r="EQ15" i="5"/>
  <c r="EP15" i="5"/>
  <c r="EO15" i="5"/>
  <c r="EN15" i="5"/>
  <c r="EM15" i="5"/>
  <c r="EL15" i="5"/>
  <c r="EK15" i="5"/>
  <c r="EJ15" i="5"/>
  <c r="EI15" i="5"/>
  <c r="EH15" i="5"/>
  <c r="EG15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6" i="5"/>
  <c r="B17" i="5"/>
  <c r="B18" i="5"/>
  <c r="B19" i="5"/>
  <c r="B20" i="5"/>
  <c r="B21" i="5"/>
  <c r="B22" i="5"/>
  <c r="B23" i="5"/>
  <c r="B15" i="5"/>
  <c r="J4" i="6"/>
  <c r="J5" i="6"/>
  <c r="J6" i="6"/>
  <c r="J7" i="6"/>
  <c r="J8" i="6"/>
  <c r="J9" i="6"/>
  <c r="J10" i="6"/>
  <c r="J11" i="6"/>
  <c r="J3" i="6"/>
  <c r="E3" i="6"/>
  <c r="F3" i="6"/>
  <c r="G3" i="6"/>
  <c r="H3" i="6"/>
  <c r="I3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F2" i="6"/>
  <c r="G2" i="6"/>
  <c r="H2" i="6"/>
  <c r="I2" i="6"/>
  <c r="E2" i="6"/>
  <c r="E3" i="5"/>
  <c r="F3" i="5"/>
  <c r="G3" i="5"/>
  <c r="H3" i="5"/>
  <c r="I3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F2" i="5"/>
  <c r="G2" i="5"/>
  <c r="H2" i="5"/>
  <c r="I2" i="5"/>
  <c r="E2" i="5"/>
  <c r="H54" i="2"/>
  <c r="E3" i="11"/>
  <c r="J4" i="11"/>
  <c r="J5" i="11"/>
  <c r="J6" i="11"/>
  <c r="J7" i="11"/>
  <c r="J8" i="11"/>
  <c r="J9" i="11"/>
  <c r="J10" i="11"/>
  <c r="J11" i="11"/>
  <c r="J12" i="11"/>
  <c r="J3" i="11"/>
  <c r="I4" i="11"/>
  <c r="I5" i="11"/>
  <c r="I6" i="11"/>
  <c r="I7" i="11"/>
  <c r="I8" i="11"/>
  <c r="I9" i="11"/>
  <c r="I10" i="11"/>
  <c r="I11" i="11"/>
  <c r="I12" i="11"/>
  <c r="I3" i="11"/>
  <c r="H4" i="11"/>
  <c r="H5" i="11"/>
  <c r="H6" i="11"/>
  <c r="H7" i="11"/>
  <c r="H8" i="11"/>
  <c r="H9" i="11"/>
  <c r="H10" i="11"/>
  <c r="H11" i="11"/>
  <c r="H12" i="11"/>
  <c r="H3" i="11"/>
  <c r="G4" i="11"/>
  <c r="G5" i="11"/>
  <c r="G6" i="11"/>
  <c r="G7" i="11"/>
  <c r="G8" i="11"/>
  <c r="G9" i="11"/>
  <c r="G10" i="11"/>
  <c r="G11" i="11"/>
  <c r="G12" i="11"/>
  <c r="G3" i="11"/>
  <c r="F4" i="11"/>
  <c r="F5" i="11"/>
  <c r="F6" i="11"/>
  <c r="F7" i="11"/>
  <c r="F8" i="11"/>
  <c r="F9" i="11"/>
  <c r="F10" i="11"/>
  <c r="F11" i="11"/>
  <c r="F12" i="11"/>
  <c r="F3" i="11"/>
  <c r="E4" i="11"/>
  <c r="E5" i="11"/>
  <c r="E6" i="11"/>
  <c r="E7" i="11"/>
  <c r="E8" i="11"/>
  <c r="E9" i="11"/>
  <c r="E10" i="11"/>
  <c r="E11" i="11"/>
  <c r="E12" i="11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53" i="2"/>
  <c r="G150" i="2"/>
  <c r="H150" i="2" s="1"/>
  <c r="E150" i="2"/>
  <c r="E142" i="2"/>
  <c r="E143" i="2"/>
  <c r="E144" i="2"/>
  <c r="E145" i="2"/>
  <c r="E146" i="2"/>
  <c r="G146" i="2" s="1"/>
  <c r="H146" i="2" s="1"/>
  <c r="E147" i="2"/>
  <c r="E148" i="2"/>
  <c r="E149" i="2"/>
  <c r="G142" i="2"/>
  <c r="H142" i="2" s="1"/>
  <c r="G143" i="2"/>
  <c r="H143" i="2" s="1"/>
  <c r="G144" i="2"/>
  <c r="H144" i="2" s="1"/>
  <c r="G145" i="2"/>
  <c r="H145" i="2" s="1"/>
  <c r="G147" i="2"/>
  <c r="H147" i="2" s="1"/>
  <c r="G148" i="2"/>
  <c r="H148" i="2" s="1"/>
  <c r="E141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F142" i="2" s="1"/>
  <c r="I142" i="2" s="1"/>
  <c r="E92" i="2"/>
  <c r="F143" i="2" s="1"/>
  <c r="E93" i="2"/>
  <c r="F144" i="2" s="1"/>
  <c r="I144" i="2" s="1"/>
  <c r="E94" i="2"/>
  <c r="F145" i="2" s="1"/>
  <c r="I145" i="2" s="1"/>
  <c r="E95" i="2"/>
  <c r="E96" i="2"/>
  <c r="F147" i="2" s="1"/>
  <c r="I147" i="2" s="1"/>
  <c r="E97" i="2"/>
  <c r="F148" i="2" s="1"/>
  <c r="I148" i="2" s="1"/>
  <c r="E98" i="2"/>
  <c r="E99" i="2"/>
  <c r="F150" i="2" s="1"/>
  <c r="I150" i="2" s="1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3" i="2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2" i="1"/>
  <c r="I6" i="1"/>
  <c r="I5" i="1"/>
  <c r="I4" i="1"/>
  <c r="I3" i="1"/>
  <c r="K12" i="11" l="1"/>
  <c r="K7" i="11"/>
  <c r="K6" i="11"/>
  <c r="K5" i="11"/>
  <c r="L5" i="11"/>
  <c r="M5" i="11" s="1"/>
  <c r="K4" i="11"/>
  <c r="K11" i="11"/>
  <c r="L10" i="11"/>
  <c r="L9" i="11"/>
  <c r="M9" i="11" s="1"/>
  <c r="L6" i="11"/>
  <c r="L7" i="11"/>
  <c r="M7" i="11" s="1"/>
  <c r="L8" i="11"/>
  <c r="K8" i="11"/>
  <c r="L4" i="11"/>
  <c r="M4" i="11" s="1"/>
  <c r="K10" i="11"/>
  <c r="L12" i="11"/>
  <c r="K9" i="11"/>
  <c r="L11" i="11"/>
  <c r="K4" i="6"/>
  <c r="I143" i="2"/>
  <c r="F146" i="2"/>
  <c r="I146" i="2" s="1"/>
  <c r="J6" i="5"/>
  <c r="J11" i="5"/>
  <c r="F149" i="2"/>
  <c r="I149" i="2" s="1"/>
  <c r="G149" i="2"/>
  <c r="H149" i="2" s="1"/>
  <c r="G141" i="2"/>
  <c r="H141" i="2" s="1"/>
  <c r="F54" i="2"/>
  <c r="G130" i="2"/>
  <c r="H130" i="2" s="1"/>
  <c r="G55" i="2"/>
  <c r="H55" i="2" s="1"/>
  <c r="G69" i="2"/>
  <c r="H69" i="2" s="1"/>
  <c r="G91" i="2"/>
  <c r="H91" i="2" s="1"/>
  <c r="F141" i="2"/>
  <c r="I141" i="2" s="1"/>
  <c r="G118" i="2"/>
  <c r="H118" i="2" s="1"/>
  <c r="G57" i="2"/>
  <c r="H57" i="2" s="1"/>
  <c r="G58" i="2"/>
  <c r="H58" i="2" s="1"/>
  <c r="G103" i="2"/>
  <c r="H103" i="2" s="1"/>
  <c r="G60" i="2"/>
  <c r="H60" i="2" s="1"/>
  <c r="G107" i="2"/>
  <c r="H107" i="2" s="1"/>
  <c r="G127" i="2"/>
  <c r="H127" i="2" s="1"/>
  <c r="G129" i="2"/>
  <c r="H129" i="2" s="1"/>
  <c r="G126" i="2"/>
  <c r="H126" i="2" s="1"/>
  <c r="G114" i="2"/>
  <c r="H114" i="2" s="1"/>
  <c r="G90" i="2"/>
  <c r="H90" i="2" s="1"/>
  <c r="G66" i="2"/>
  <c r="H66" i="2" s="1"/>
  <c r="G132" i="2"/>
  <c r="H132" i="2" s="1"/>
  <c r="G93" i="2"/>
  <c r="H93" i="2" s="1"/>
  <c r="G116" i="2"/>
  <c r="H116" i="2" s="1"/>
  <c r="G94" i="2"/>
  <c r="H94" i="2" s="1"/>
  <c r="G73" i="2"/>
  <c r="H73" i="2" s="1"/>
  <c r="G97" i="2"/>
  <c r="H97" i="2" s="1"/>
  <c r="G79" i="2"/>
  <c r="H79" i="2" s="1"/>
  <c r="G121" i="2"/>
  <c r="H121" i="2" s="1"/>
  <c r="G80" i="2"/>
  <c r="H80" i="2" s="1"/>
  <c r="G81" i="2"/>
  <c r="H81" i="2" s="1"/>
  <c r="G83" i="2"/>
  <c r="H83" i="2" s="1"/>
  <c r="G106" i="2"/>
  <c r="H106" i="2" s="1"/>
  <c r="G68" i="2"/>
  <c r="H68" i="2" s="1"/>
  <c r="G131" i="2"/>
  <c r="H131" i="2" s="1"/>
  <c r="G102" i="2"/>
  <c r="H102" i="2" s="1"/>
  <c r="G78" i="2"/>
  <c r="H78" i="2" s="1"/>
  <c r="G115" i="2"/>
  <c r="H115" i="2" s="1"/>
  <c r="G71" i="2"/>
  <c r="H71" i="2" s="1"/>
  <c r="G108" i="2"/>
  <c r="H108" i="2" s="1"/>
  <c r="G139" i="2"/>
  <c r="H139" i="2" s="1"/>
  <c r="G117" i="2"/>
  <c r="H117" i="2" s="1"/>
  <c r="G95" i="2"/>
  <c r="H95" i="2" s="1"/>
  <c r="G56" i="2"/>
  <c r="H56" i="2" s="1"/>
  <c r="G70" i="2"/>
  <c r="H70" i="2" s="1"/>
  <c r="G138" i="2"/>
  <c r="H138" i="2" s="1"/>
  <c r="G119" i="2"/>
  <c r="H119" i="2" s="1"/>
  <c r="G59" i="2"/>
  <c r="H59" i="2" s="1"/>
  <c r="G82" i="2"/>
  <c r="H82" i="2" s="1"/>
  <c r="G105" i="2"/>
  <c r="H105" i="2" s="1"/>
  <c r="G67" i="2"/>
  <c r="H67" i="2" s="1"/>
  <c r="G84" i="2"/>
  <c r="H84" i="2" s="1"/>
  <c r="G128" i="2"/>
  <c r="H128" i="2" s="1"/>
  <c r="G92" i="2"/>
  <c r="H92" i="2" s="1"/>
  <c r="G104" i="2"/>
  <c r="H104" i="2" s="1"/>
  <c r="G125" i="2"/>
  <c r="H125" i="2" s="1"/>
  <c r="G89" i="2"/>
  <c r="H89" i="2" s="1"/>
  <c r="G77" i="2"/>
  <c r="H77" i="2" s="1"/>
  <c r="G124" i="2"/>
  <c r="H124" i="2" s="1"/>
  <c r="G100" i="2"/>
  <c r="H100" i="2" s="1"/>
  <c r="G64" i="2"/>
  <c r="H64" i="2" s="1"/>
  <c r="G135" i="2"/>
  <c r="H135" i="2" s="1"/>
  <c r="G123" i="2"/>
  <c r="H123" i="2" s="1"/>
  <c r="G99" i="2"/>
  <c r="H99" i="2" s="1"/>
  <c r="G63" i="2"/>
  <c r="H63" i="2" s="1"/>
  <c r="F140" i="2"/>
  <c r="G122" i="2"/>
  <c r="H122" i="2" s="1"/>
  <c r="G98" i="2"/>
  <c r="H98" i="2" s="1"/>
  <c r="G62" i="2"/>
  <c r="H62" i="2" s="1"/>
  <c r="G133" i="2"/>
  <c r="H133" i="2" s="1"/>
  <c r="G109" i="2"/>
  <c r="H109" i="2" s="1"/>
  <c r="G85" i="2"/>
  <c r="H85" i="2" s="1"/>
  <c r="G61" i="2"/>
  <c r="H61" i="2" s="1"/>
  <c r="G120" i="2"/>
  <c r="H120" i="2" s="1"/>
  <c r="G96" i="2"/>
  <c r="H96" i="2" s="1"/>
  <c r="G72" i="2"/>
  <c r="H72" i="2" s="1"/>
  <c r="G54" i="2"/>
  <c r="F134" i="2"/>
  <c r="G137" i="2"/>
  <c r="H137" i="2" s="1"/>
  <c r="G113" i="2"/>
  <c r="H113" i="2" s="1"/>
  <c r="G101" i="2"/>
  <c r="H101" i="2" s="1"/>
  <c r="G65" i="2"/>
  <c r="H65" i="2" s="1"/>
  <c r="G136" i="2"/>
  <c r="H136" i="2" s="1"/>
  <c r="G112" i="2"/>
  <c r="H112" i="2" s="1"/>
  <c r="G88" i="2"/>
  <c r="H88" i="2" s="1"/>
  <c r="G76" i="2"/>
  <c r="H76" i="2" s="1"/>
  <c r="G111" i="2"/>
  <c r="H111" i="2" s="1"/>
  <c r="G87" i="2"/>
  <c r="H87" i="2" s="1"/>
  <c r="G75" i="2"/>
  <c r="H75" i="2" s="1"/>
  <c r="G134" i="2"/>
  <c r="H134" i="2" s="1"/>
  <c r="G110" i="2"/>
  <c r="H110" i="2" s="1"/>
  <c r="G86" i="2"/>
  <c r="H86" i="2" s="1"/>
  <c r="G74" i="2"/>
  <c r="H74" i="2" s="1"/>
  <c r="G140" i="2"/>
  <c r="H140" i="2" s="1"/>
  <c r="F64" i="2"/>
  <c r="F136" i="2"/>
  <c r="I136" i="2" s="1"/>
  <c r="F88" i="2"/>
  <c r="F85" i="2"/>
  <c r="F106" i="2"/>
  <c r="F86" i="2"/>
  <c r="F56" i="2"/>
  <c r="F137" i="2"/>
  <c r="F116" i="2"/>
  <c r="F75" i="2"/>
  <c r="I75" i="2" s="1"/>
  <c r="F76" i="2"/>
  <c r="I76" i="2" s="1"/>
  <c r="F65" i="2"/>
  <c r="I65" i="2" s="1"/>
  <c r="F55" i="2"/>
  <c r="I55" i="2" s="1"/>
  <c r="F66" i="2"/>
  <c r="I66" i="2" s="1"/>
  <c r="F126" i="2"/>
  <c r="I126" i="2" s="1"/>
  <c r="F127" i="2"/>
  <c r="F105" i="2"/>
  <c r="I105" i="2" s="1"/>
  <c r="F94" i="2"/>
  <c r="F95" i="2"/>
  <c r="F118" i="2"/>
  <c r="F96" i="2"/>
  <c r="I96" i="2" s="1"/>
  <c r="F107" i="2"/>
  <c r="I107" i="2" s="1"/>
  <c r="F128" i="2"/>
  <c r="I128" i="2" s="1"/>
  <c r="F77" i="2"/>
  <c r="I77" i="2" s="1"/>
  <c r="F98" i="2"/>
  <c r="I98" i="2" s="1"/>
  <c r="F108" i="2"/>
  <c r="I108" i="2" s="1"/>
  <c r="F139" i="2"/>
  <c r="I139" i="2" s="1"/>
  <c r="F57" i="2"/>
  <c r="F68" i="2"/>
  <c r="F78" i="2"/>
  <c r="F109" i="2"/>
  <c r="F119" i="2"/>
  <c r="F129" i="2"/>
  <c r="I129" i="2" s="1"/>
  <c r="F58" i="2"/>
  <c r="F79" i="2"/>
  <c r="I79" i="2" s="1"/>
  <c r="F89" i="2"/>
  <c r="I89" i="2" s="1"/>
  <c r="F99" i="2"/>
  <c r="I99" i="2" s="1"/>
  <c r="F110" i="2"/>
  <c r="I110" i="2" s="1"/>
  <c r="F120" i="2"/>
  <c r="I120" i="2" s="1"/>
  <c r="F130" i="2"/>
  <c r="F59" i="2"/>
  <c r="F69" i="2"/>
  <c r="F80" i="2"/>
  <c r="I80" i="2" s="1"/>
  <c r="F90" i="2"/>
  <c r="F100" i="2"/>
  <c r="F121" i="2"/>
  <c r="I121" i="2" s="1"/>
  <c r="F131" i="2"/>
  <c r="F60" i="2"/>
  <c r="I60" i="2" s="1"/>
  <c r="F70" i="2"/>
  <c r="I70" i="2" s="1"/>
  <c r="F91" i="2"/>
  <c r="I91" i="2" s="1"/>
  <c r="F101" i="2"/>
  <c r="I101" i="2" s="1"/>
  <c r="F111" i="2"/>
  <c r="F122" i="2"/>
  <c r="F132" i="2"/>
  <c r="F61" i="2"/>
  <c r="F71" i="2"/>
  <c r="I71" i="2" s="1"/>
  <c r="F81" i="2"/>
  <c r="I81" i="2" s="1"/>
  <c r="F92" i="2"/>
  <c r="I92" i="2" s="1"/>
  <c r="F102" i="2"/>
  <c r="F112" i="2"/>
  <c r="F133" i="2"/>
  <c r="I133" i="2" s="1"/>
  <c r="F62" i="2"/>
  <c r="I62" i="2" s="1"/>
  <c r="F72" i="2"/>
  <c r="I72" i="2" s="1"/>
  <c r="F82" i="2"/>
  <c r="F103" i="2"/>
  <c r="F113" i="2"/>
  <c r="F123" i="2"/>
  <c r="I123" i="2" s="1"/>
  <c r="F73" i="2"/>
  <c r="I73" i="2" s="1"/>
  <c r="F83" i="2"/>
  <c r="F93" i="2"/>
  <c r="F104" i="2"/>
  <c r="I104" i="2" s="1"/>
  <c r="F114" i="2"/>
  <c r="I114" i="2" s="1"/>
  <c r="F124" i="2"/>
  <c r="I124" i="2" s="1"/>
  <c r="F97" i="2"/>
  <c r="I97" i="2" s="1"/>
  <c r="F117" i="2"/>
  <c r="I117" i="2" s="1"/>
  <c r="F138" i="2"/>
  <c r="F67" i="2"/>
  <c r="I67" i="2" s="1"/>
  <c r="F87" i="2"/>
  <c r="I87" i="2" s="1"/>
  <c r="F63" i="2"/>
  <c r="I63" i="2" s="1"/>
  <c r="F74" i="2"/>
  <c r="F84" i="2"/>
  <c r="I84" i="2" s="1"/>
  <c r="F115" i="2"/>
  <c r="I115" i="2" s="1"/>
  <c r="F125" i="2"/>
  <c r="I125" i="2" s="1"/>
  <c r="F135" i="2"/>
  <c r="I135" i="2" s="1"/>
  <c r="M8" i="11" l="1"/>
  <c r="M10" i="11"/>
  <c r="M11" i="11"/>
  <c r="M6" i="11"/>
  <c r="M12" i="11"/>
  <c r="K6" i="6"/>
  <c r="R7" i="11" s="1"/>
  <c r="K11" i="6"/>
  <c r="L11" i="6" s="1"/>
  <c r="T12" i="11" s="1"/>
  <c r="K7" i="6"/>
  <c r="L7" i="6" s="1"/>
  <c r="T8" i="11" s="1"/>
  <c r="K9" i="6"/>
  <c r="R10" i="11" s="1"/>
  <c r="K8" i="6"/>
  <c r="R9" i="11" s="1"/>
  <c r="K10" i="6"/>
  <c r="R11" i="11" s="1"/>
  <c r="K5" i="6"/>
  <c r="L5" i="6" s="1"/>
  <c r="T6" i="11" s="1"/>
  <c r="K3" i="6"/>
  <c r="R4" i="11" s="1"/>
  <c r="J9" i="5"/>
  <c r="K9" i="5" s="1"/>
  <c r="O10" i="11" s="1"/>
  <c r="J7" i="5"/>
  <c r="K7" i="5" s="1"/>
  <c r="O8" i="11" s="1"/>
  <c r="J8" i="5"/>
  <c r="N9" i="11" s="1"/>
  <c r="J5" i="5"/>
  <c r="O5" i="5" s="1"/>
  <c r="S6" i="11" s="1"/>
  <c r="J4" i="5"/>
  <c r="J10" i="5"/>
  <c r="K10" i="5" s="1"/>
  <c r="O11" i="11" s="1"/>
  <c r="J3" i="5"/>
  <c r="L3" i="5" s="1"/>
  <c r="P4" i="11" s="1"/>
  <c r="L4" i="6"/>
  <c r="T5" i="11" s="1"/>
  <c r="R5" i="11"/>
  <c r="K6" i="5"/>
  <c r="O7" i="11" s="1"/>
  <c r="N7" i="11"/>
  <c r="K11" i="5"/>
  <c r="O12" i="11" s="1"/>
  <c r="N12" i="11"/>
  <c r="O6" i="5"/>
  <c r="S7" i="11" s="1"/>
  <c r="L6" i="5"/>
  <c r="O11" i="5"/>
  <c r="S12" i="11" s="1"/>
  <c r="L11" i="5"/>
  <c r="I131" i="2"/>
  <c r="I83" i="2"/>
  <c r="I116" i="2"/>
  <c r="I74" i="2"/>
  <c r="I90" i="2"/>
  <c r="I119" i="2"/>
  <c r="I118" i="2"/>
  <c r="I137" i="2"/>
  <c r="I134" i="2"/>
  <c r="I140" i="2"/>
  <c r="I88" i="2"/>
  <c r="I64" i="2"/>
  <c r="I102" i="2"/>
  <c r="I95" i="2"/>
  <c r="I56" i="2"/>
  <c r="I132" i="2"/>
  <c r="I78" i="2"/>
  <c r="I103" i="2"/>
  <c r="I59" i="2"/>
  <c r="I112" i="2"/>
  <c r="I93" i="2"/>
  <c r="I58" i="2"/>
  <c r="I100" i="2"/>
  <c r="I61" i="2"/>
  <c r="I109" i="2"/>
  <c r="I113" i="2"/>
  <c r="I69" i="2"/>
  <c r="I94" i="2"/>
  <c r="I86" i="2"/>
  <c r="I54" i="2"/>
  <c r="I122" i="2"/>
  <c r="I68" i="2"/>
  <c r="I106" i="2"/>
  <c r="I138" i="2"/>
  <c r="I82" i="2"/>
  <c r="I111" i="2"/>
  <c r="I130" i="2"/>
  <c r="I57" i="2"/>
  <c r="I127" i="2"/>
  <c r="I85" i="2"/>
  <c r="L6" i="6" l="1"/>
  <c r="T7" i="11" s="1"/>
  <c r="R12" i="11"/>
  <c r="O4" i="5"/>
  <c r="S5" i="11" s="1"/>
  <c r="N5" i="11"/>
  <c r="L3" i="6"/>
  <c r="T4" i="11" s="1"/>
  <c r="L7" i="5"/>
  <c r="P8" i="11" s="1"/>
  <c r="L9" i="6"/>
  <c r="T10" i="11" s="1"/>
  <c r="L10" i="6"/>
  <c r="T11" i="11" s="1"/>
  <c r="R8" i="11"/>
  <c r="O9" i="5"/>
  <c r="S10" i="11" s="1"/>
  <c r="R6" i="11"/>
  <c r="L8" i="6"/>
  <c r="T9" i="11" s="1"/>
  <c r="L9" i="5"/>
  <c r="P10" i="11" s="1"/>
  <c r="L5" i="5"/>
  <c r="P6" i="11" s="1"/>
  <c r="L8" i="5"/>
  <c r="P9" i="11" s="1"/>
  <c r="O8" i="5"/>
  <c r="S9" i="11" s="1"/>
  <c r="N10" i="11"/>
  <c r="K8" i="5"/>
  <c r="O9" i="11" s="1"/>
  <c r="K4" i="5"/>
  <c r="O5" i="11" s="1"/>
  <c r="L10" i="5"/>
  <c r="P11" i="11" s="1"/>
  <c r="L4" i="5"/>
  <c r="P5" i="11" s="1"/>
  <c r="N8" i="11"/>
  <c r="K5" i="5"/>
  <c r="O6" i="11" s="1"/>
  <c r="O7" i="5"/>
  <c r="S8" i="11" s="1"/>
  <c r="N11" i="11"/>
  <c r="O10" i="5"/>
  <c r="S11" i="11" s="1"/>
  <c r="N6" i="11"/>
  <c r="K3" i="5"/>
  <c r="O4" i="11" s="1"/>
  <c r="O3" i="5"/>
  <c r="S4" i="11" s="1"/>
  <c r="N4" i="11"/>
  <c r="M11" i="5"/>
  <c r="Q12" i="11" s="1"/>
  <c r="P12" i="11"/>
  <c r="M6" i="5"/>
  <c r="Q7" i="11" s="1"/>
  <c r="P7" i="11"/>
  <c r="M7" i="5" l="1"/>
  <c r="Q8" i="11" s="1"/>
  <c r="M2" i="6"/>
  <c r="M9" i="5"/>
  <c r="Q10" i="11" s="1"/>
  <c r="M10" i="5"/>
  <c r="Q11" i="11" s="1"/>
  <c r="M4" i="5"/>
  <c r="Q5" i="11" s="1"/>
  <c r="M8" i="5"/>
  <c r="Q9" i="11" s="1"/>
  <c r="M5" i="5"/>
  <c r="Q6" i="11" s="1"/>
  <c r="Q1" i="5"/>
  <c r="U3" i="11" s="1"/>
  <c r="M3" i="5"/>
  <c r="Q4" i="11" s="1"/>
  <c r="V3" i="11" l="1"/>
</calcChain>
</file>

<file path=xl/sharedStrings.xml><?xml version="1.0" encoding="utf-8"?>
<sst xmlns="http://schemas.openxmlformats.org/spreadsheetml/2006/main" count="276" uniqueCount="122">
  <si>
    <t>Date</t>
  </si>
  <si>
    <t>Price</t>
  </si>
  <si>
    <t>Vol.</t>
  </si>
  <si>
    <t>Change %</t>
  </si>
  <si>
    <t>01/15/2023</t>
  </si>
  <si>
    <t>01/22/2023</t>
  </si>
  <si>
    <t>01/29/2023</t>
  </si>
  <si>
    <t>02/19/2023</t>
  </si>
  <si>
    <t>02/26/2023</t>
  </si>
  <si>
    <t>03/19/2023</t>
  </si>
  <si>
    <t>03/26/2023</t>
  </si>
  <si>
    <t>04/16/2023</t>
  </si>
  <si>
    <t>04/23/2023</t>
  </si>
  <si>
    <t>04/30/2023</t>
  </si>
  <si>
    <t>05/14/2023</t>
  </si>
  <si>
    <t>05/21/2023</t>
  </si>
  <si>
    <t>05/28/2023</t>
  </si>
  <si>
    <t>06/18/2023</t>
  </si>
  <si>
    <t>06/25/2023</t>
  </si>
  <si>
    <t>07/16/2023</t>
  </si>
  <si>
    <t>07/23/2023</t>
  </si>
  <si>
    <t>07/30/2023</t>
  </si>
  <si>
    <t>08/13/2023</t>
  </si>
  <si>
    <t>08/20/2023</t>
  </si>
  <si>
    <t>08/27/2023</t>
  </si>
  <si>
    <t>09/17/2023</t>
  </si>
  <si>
    <t>09/24/2023</t>
  </si>
  <si>
    <t>10/15/2023</t>
  </si>
  <si>
    <t>10/22/2023</t>
  </si>
  <si>
    <t>10/29/2023</t>
  </si>
  <si>
    <t>11/19/2023</t>
  </si>
  <si>
    <t>11/26/2023</t>
  </si>
  <si>
    <t>12/17/2023</t>
  </si>
  <si>
    <t>12/24/2023</t>
  </si>
  <si>
    <t>12/31/2023</t>
  </si>
  <si>
    <t>01/14/2024</t>
  </si>
  <si>
    <t>01/21/2024</t>
  </si>
  <si>
    <t>01/28/2024</t>
  </si>
  <si>
    <t>02/18/2024</t>
  </si>
  <si>
    <t>02/25/2024</t>
  </si>
  <si>
    <t>03/17/2024</t>
  </si>
  <si>
    <t>03/24/2024</t>
  </si>
  <si>
    <t>03/31/2024</t>
  </si>
  <si>
    <t>04/14/2024</t>
  </si>
  <si>
    <t>04/21/2024</t>
  </si>
  <si>
    <t>04/28/2024</t>
  </si>
  <si>
    <t>05/19/2024</t>
  </si>
  <si>
    <t>05/26/2024</t>
  </si>
  <si>
    <t>06/16/2024</t>
  </si>
  <si>
    <t>06/23/2024</t>
  </si>
  <si>
    <t>06/30/2024</t>
  </si>
  <si>
    <t>07/14/2024</t>
  </si>
  <si>
    <t>07/21/2024</t>
  </si>
  <si>
    <t>07/28/2024</t>
  </si>
  <si>
    <t>08/18/2024</t>
  </si>
  <si>
    <t>08/25/2024</t>
  </si>
  <si>
    <t>09/15/2024</t>
  </si>
  <si>
    <t>09/22/2024</t>
  </si>
  <si>
    <t>09/29/2024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</si>
  <si>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</si>
  <si>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</si>
  <si>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</si>
  <si>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</si>
  <si>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</si>
  <si>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</si>
  <si>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</si>
  <si>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12/29/2024</t>
  </si>
  <si>
    <t>01/19/2025</t>
  </si>
  <si>
    <t>01/26/2025</t>
  </si>
  <si>
    <t>02/16/2025</t>
  </si>
  <si>
    <t>02/23/2025</t>
  </si>
  <si>
    <t>03/16/2025</t>
  </si>
  <si>
    <t>03/23/2025</t>
  </si>
  <si>
    <t>03/30/2025</t>
  </si>
  <si>
    <t>04/13/2025</t>
  </si>
  <si>
    <t>04/20/2025</t>
  </si>
  <si>
    <t>04/27/2025</t>
  </si>
  <si>
    <t>05/18/2025</t>
  </si>
  <si>
    <t>05/25/2025</t>
  </si>
  <si>
    <t>06/15/2025</t>
  </si>
  <si>
    <t>06/22/2025</t>
  </si>
  <si>
    <t>06/29/2025</t>
  </si>
  <si>
    <t>07/13/2025</t>
  </si>
  <si>
    <t>07/20/2025</t>
  </si>
  <si>
    <t>07/27/2025</t>
  </si>
  <si>
    <t>08/17/2025</t>
  </si>
  <si>
    <t>08/24/2025</t>
  </si>
  <si>
    <t>08/31/2025</t>
  </si>
  <si>
    <t>09/14/2025</t>
  </si>
  <si>
    <t>09/21/2025</t>
  </si>
  <si>
    <t>09/28/2025</t>
  </si>
  <si>
    <t>10/19/2025</t>
  </si>
  <si>
    <t>10/26/2025</t>
  </si>
  <si>
    <t>Calculation</t>
  </si>
  <si>
    <t>SD</t>
  </si>
  <si>
    <t xml:space="preserve">AVG </t>
  </si>
  <si>
    <t xml:space="preserve">Max </t>
  </si>
  <si>
    <t xml:space="preserve">Min </t>
  </si>
  <si>
    <t>Vol. (M)</t>
  </si>
  <si>
    <t>Weekly Log Return</t>
  </si>
  <si>
    <t>Raw Drift</t>
  </si>
  <si>
    <t>Volatility</t>
  </si>
  <si>
    <t>Annualised Volatility</t>
  </si>
  <si>
    <t>Market Drift</t>
  </si>
  <si>
    <t>Forecasted Price</t>
  </si>
  <si>
    <t>Forecasted Price (Mean)</t>
  </si>
  <si>
    <t xml:space="preserve">Percentage Error </t>
  </si>
  <si>
    <t xml:space="preserve">MPE </t>
  </si>
  <si>
    <t>Upper Limit (CI)</t>
  </si>
  <si>
    <t>Lower Limit (CI)</t>
  </si>
  <si>
    <t>Range</t>
  </si>
  <si>
    <t>Average Price (Rolling)</t>
  </si>
  <si>
    <t>Percentage Error (Dividend)</t>
  </si>
  <si>
    <t>MPE</t>
  </si>
  <si>
    <t>MPE (Dividend)</t>
  </si>
  <si>
    <t>Actual Price</t>
  </si>
  <si>
    <t>Confidence Interval (Avg Price)</t>
  </si>
  <si>
    <t>Confidence Interval (Forecasted Price)</t>
  </si>
  <si>
    <t>Dividend Yield, q</t>
  </si>
  <si>
    <t>Average Price</t>
  </si>
  <si>
    <t>Dividend</t>
  </si>
  <si>
    <t>Forecasted Price (With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</si>
</sst>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4" fontId="0" fillId="33" borderId="0" xfId="0" applyNumberFormat="1" applyFill="1"/>
    <xf numFmtId="0" fontId="0" fillId="37" borderId="0" xfId="0" applyFill="1"/>
    <xf numFmtId="0" fontId="0" fillId="38" borderId="0" xfId="0" applyFill="1"/>
    <xf numFmtId="14" fontId="0" fillId="36" borderId="0" xfId="0" applyNumberFormat="1" applyFill="1"/>
    <xf numFmtId="0" fontId="0" fillId="39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AA0A4"/>
      <color rgb="FFE3008C"/>
      <color rgb="FFCFAFE7"/>
      <color rgb="FFBF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Pric</a:t>
            </a:r>
            <a:r>
              <a:rPr lang="en-MY" baseline="0"/>
              <a:t>e and Volume against Time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'Malayan Banking Stock Price His'!$D$1</c:f>
              <c:strCache>
                <c:ptCount val="1"/>
                <c:pt idx="0">
                  <c:v>Vol.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'Malayan Banking Stock Price His'!$A$2:$A$150</c:f>
              <c:strCache>
                <c:ptCount val="149"/>
                <c:pt idx="0">
                  <c:v>1/8/2023</c:v>
                </c:pt>
                <c:pt idx="1">
                  <c:v>01/15/2023</c:v>
                </c:pt>
                <c:pt idx="2">
                  <c:v>01/22/2023</c:v>
                </c:pt>
                <c:pt idx="3">
                  <c:v>01/29/2023</c:v>
                </c:pt>
                <c:pt idx="4">
                  <c:v>2/5/2023</c:v>
                </c:pt>
                <c:pt idx="5">
                  <c:v>2/12/2023</c:v>
                </c:pt>
                <c:pt idx="6">
                  <c:v>02/19/2023</c:v>
                </c:pt>
                <c:pt idx="7">
                  <c:v>02/26/2023</c:v>
                </c:pt>
                <c:pt idx="8">
                  <c:v>3/5/2023</c:v>
                </c:pt>
                <c:pt idx="9">
                  <c:v>3/12/2023</c:v>
                </c:pt>
                <c:pt idx="10">
                  <c:v>03/19/2023</c:v>
                </c:pt>
                <c:pt idx="11">
                  <c:v>03/26/2023</c:v>
                </c:pt>
                <c:pt idx="12">
                  <c:v>4/2/2023</c:v>
                </c:pt>
                <c:pt idx="13">
                  <c:v>4/9/2023</c:v>
                </c:pt>
                <c:pt idx="14">
                  <c:v>04/16/2023</c:v>
                </c:pt>
                <c:pt idx="15">
                  <c:v>04/23/2023</c:v>
                </c:pt>
                <c:pt idx="16">
                  <c:v>04/30/2023</c:v>
                </c:pt>
                <c:pt idx="17">
                  <c:v>5/7/2023</c:v>
                </c:pt>
                <c:pt idx="18">
                  <c:v>05/14/2023</c:v>
                </c:pt>
                <c:pt idx="19">
                  <c:v>05/21/2023</c:v>
                </c:pt>
                <c:pt idx="20">
                  <c:v>05/28/2023</c:v>
                </c:pt>
                <c:pt idx="21">
                  <c:v>6/4/2023</c:v>
                </c:pt>
                <c:pt idx="22">
                  <c:v>6/11/2023</c:v>
                </c:pt>
                <c:pt idx="23">
                  <c:v>06/18/2023</c:v>
                </c:pt>
                <c:pt idx="24">
                  <c:v>06/25/2023</c:v>
                </c:pt>
                <c:pt idx="25">
                  <c:v>7/2/2023</c:v>
                </c:pt>
                <c:pt idx="26">
                  <c:v>7/9/2023</c:v>
                </c:pt>
                <c:pt idx="27">
                  <c:v>07/16/2023</c:v>
                </c:pt>
                <c:pt idx="28">
                  <c:v>07/23/2023</c:v>
                </c:pt>
                <c:pt idx="29">
                  <c:v>07/30/2023</c:v>
                </c:pt>
                <c:pt idx="30">
                  <c:v>8/6/2023</c:v>
                </c:pt>
                <c:pt idx="31">
                  <c:v>08/13/2023</c:v>
                </c:pt>
                <c:pt idx="32">
                  <c:v>08/20/2023</c:v>
                </c:pt>
                <c:pt idx="33">
                  <c:v>08/27/2023</c:v>
                </c:pt>
                <c:pt idx="34">
                  <c:v>9/3/2023</c:v>
                </c:pt>
                <c:pt idx="35">
                  <c:v>9/10/2023</c:v>
                </c:pt>
                <c:pt idx="36">
                  <c:v>09/17/2023</c:v>
                </c:pt>
                <c:pt idx="37">
                  <c:v>09/24/2023</c:v>
                </c:pt>
                <c:pt idx="38">
                  <c:v>10/1/2023</c:v>
                </c:pt>
                <c:pt idx="39">
                  <c:v>10/8/2023</c:v>
                </c:pt>
                <c:pt idx="40">
                  <c:v>10/15/2023</c:v>
                </c:pt>
                <c:pt idx="41">
                  <c:v>10/22/2023</c:v>
                </c:pt>
                <c:pt idx="42">
                  <c:v>10/29/2023</c:v>
                </c:pt>
                <c:pt idx="43">
                  <c:v>11/5/2023</c:v>
                </c:pt>
                <c:pt idx="44">
                  <c:v>11/12/2023</c:v>
                </c:pt>
                <c:pt idx="45">
                  <c:v>11/19/2023</c:v>
                </c:pt>
                <c:pt idx="46">
                  <c:v>11/26/2023</c:v>
                </c:pt>
                <c:pt idx="47">
                  <c:v>12/3/2023</c:v>
                </c:pt>
                <c:pt idx="48">
                  <c:v>12/10/2023</c:v>
                </c:pt>
                <c:pt idx="49">
                  <c:v>12/17/2023</c:v>
                </c:pt>
                <c:pt idx="50">
                  <c:v>12/24/2023</c:v>
                </c:pt>
                <c:pt idx="51">
                  <c:v>12/31/2023</c:v>
                </c:pt>
                <c:pt idx="52">
                  <c:v>1/7/2024</c:v>
                </c:pt>
                <c:pt idx="53">
                  <c:v>01/14/2024</c:v>
                </c:pt>
                <c:pt idx="54">
                  <c:v>01/21/2024</c:v>
                </c:pt>
                <c:pt idx="55">
                  <c:v>01/28/2024</c:v>
                </c:pt>
                <c:pt idx="56">
                  <c:v>2/4/2024</c:v>
                </c:pt>
                <c:pt idx="57">
                  <c:v>2/11/2024</c:v>
                </c:pt>
                <c:pt idx="58">
                  <c:v>02/18/2024</c:v>
                </c:pt>
                <c:pt idx="59">
                  <c:v>02/25/2024</c:v>
                </c:pt>
                <c:pt idx="60">
                  <c:v>3/3/2024</c:v>
                </c:pt>
                <c:pt idx="61">
                  <c:v>3/10/2024</c:v>
                </c:pt>
                <c:pt idx="62">
                  <c:v>03/17/2024</c:v>
                </c:pt>
                <c:pt idx="63">
                  <c:v>03/24/2024</c:v>
                </c:pt>
                <c:pt idx="64">
                  <c:v>03/31/2024</c:v>
                </c:pt>
                <c:pt idx="65">
                  <c:v>4/7/2024</c:v>
                </c:pt>
                <c:pt idx="66">
                  <c:v>04/14/2024</c:v>
                </c:pt>
                <c:pt idx="67">
                  <c:v>04/21/2024</c:v>
                </c:pt>
                <c:pt idx="68">
                  <c:v>04/28/2024</c:v>
                </c:pt>
                <c:pt idx="69">
                  <c:v>5/5/2024</c:v>
                </c:pt>
                <c:pt idx="70">
                  <c:v>5/12/2024</c:v>
                </c:pt>
                <c:pt idx="71">
                  <c:v>05/19/2024</c:v>
                </c:pt>
                <c:pt idx="72">
                  <c:v>05/26/2024</c:v>
                </c:pt>
                <c:pt idx="73">
                  <c:v>6/2/2024</c:v>
                </c:pt>
                <c:pt idx="74">
                  <c:v>6/9/2024</c:v>
                </c:pt>
                <c:pt idx="75">
                  <c:v>06/16/2024</c:v>
                </c:pt>
                <c:pt idx="76">
                  <c:v>06/23/2024</c:v>
                </c:pt>
                <c:pt idx="77">
                  <c:v>06/30/2024</c:v>
                </c:pt>
                <c:pt idx="78">
                  <c:v>7/7/2024</c:v>
                </c:pt>
                <c:pt idx="79">
                  <c:v>07/14/2024</c:v>
                </c:pt>
                <c:pt idx="80">
                  <c:v>07/21/2024</c:v>
                </c:pt>
                <c:pt idx="81">
                  <c:v>07/28/2024</c:v>
                </c:pt>
                <c:pt idx="82">
                  <c:v>8/4/2024</c:v>
                </c:pt>
                <c:pt idx="83">
                  <c:v>8/11/2024</c:v>
                </c:pt>
                <c:pt idx="84">
                  <c:v>08/18/2024</c:v>
                </c:pt>
                <c:pt idx="85">
                  <c:v>08/25/2024</c:v>
                </c:pt>
                <c:pt idx="86">
                  <c:v>9/1/2024</c:v>
                </c:pt>
                <c:pt idx="87">
                  <c:v>9/8/2024</c:v>
                </c:pt>
                <c:pt idx="88">
                  <c:v>09/15/2024</c:v>
                </c:pt>
                <c:pt idx="89">
                  <c:v>09/22/2024</c:v>
                </c:pt>
                <c:pt idx="90">
                  <c:v>09/29/2024</c:v>
                </c:pt>
                <c:pt idx="91">
                  <c:v>10/6/2024</c:v>
                </c:pt>
                <c:pt idx="92">
                  <c:v>10/13/2024</c:v>
                </c:pt>
                <c:pt idx="93">
                  <c:v>10/20/2024</c:v>
                </c:pt>
                <c:pt idx="94">
                  <c:v>10/27/2024</c:v>
                </c:pt>
                <c:pt idx="95">
                  <c:v>11/3/2024</c:v>
                </c:pt>
                <c:pt idx="96">
                  <c:v>11/10/2024</c:v>
                </c:pt>
                <c:pt idx="97">
                  <c:v>11/17/2024</c:v>
                </c:pt>
                <c:pt idx="98">
                  <c:v>11/24/2024</c:v>
                </c:pt>
                <c:pt idx="99">
                  <c:v>12/1/2024</c:v>
                </c:pt>
                <c:pt idx="100">
                  <c:v>12/8/2024</c:v>
                </c:pt>
                <c:pt idx="101">
                  <c:v>12/15/2024</c:v>
                </c:pt>
                <c:pt idx="102">
                  <c:v>12/22/2024</c:v>
                </c:pt>
                <c:pt idx="103">
                  <c:v>12/29/2024</c:v>
                </c:pt>
                <c:pt idx="104">
                  <c:v>1/5/2025</c:v>
                </c:pt>
                <c:pt idx="105">
                  <c:v>1/12/2025</c:v>
                </c:pt>
                <c:pt idx="106">
                  <c:v>01/19/2025</c:v>
                </c:pt>
                <c:pt idx="107">
                  <c:v>01/26/2025</c:v>
                </c:pt>
                <c:pt idx="108">
                  <c:v>2/2/2025</c:v>
                </c:pt>
                <c:pt idx="109">
                  <c:v>2/9/2025</c:v>
                </c:pt>
                <c:pt idx="110">
                  <c:v>02/16/2025</c:v>
                </c:pt>
                <c:pt idx="111">
                  <c:v>02/23/2025</c:v>
                </c:pt>
                <c:pt idx="112">
                  <c:v>3/2/2025</c:v>
                </c:pt>
                <c:pt idx="113">
                  <c:v>3/9/2025</c:v>
                </c:pt>
                <c:pt idx="114">
                  <c:v>03/16/2025</c:v>
                </c:pt>
                <c:pt idx="115">
                  <c:v>03/23/2025</c:v>
                </c:pt>
                <c:pt idx="116">
                  <c:v>03/30/2025</c:v>
                </c:pt>
                <c:pt idx="117">
                  <c:v>4/6/2025</c:v>
                </c:pt>
                <c:pt idx="118">
                  <c:v>04/13/2025</c:v>
                </c:pt>
                <c:pt idx="119">
                  <c:v>04/20/2025</c:v>
                </c:pt>
                <c:pt idx="120">
                  <c:v>04/27/2025</c:v>
                </c:pt>
                <c:pt idx="121">
                  <c:v>5/4/2025</c:v>
                </c:pt>
                <c:pt idx="122">
                  <c:v>5/11/2025</c:v>
                </c:pt>
                <c:pt idx="123">
                  <c:v>05/18/2025</c:v>
                </c:pt>
                <c:pt idx="124">
                  <c:v>05/25/2025</c:v>
                </c:pt>
                <c:pt idx="125">
                  <c:v>6/1/2025</c:v>
                </c:pt>
                <c:pt idx="126">
                  <c:v>6/8/2025</c:v>
                </c:pt>
                <c:pt idx="127">
                  <c:v>06/15/2025</c:v>
                </c:pt>
                <c:pt idx="128">
                  <c:v>06/22/2025</c:v>
                </c:pt>
                <c:pt idx="129">
                  <c:v>06/29/2025</c:v>
                </c:pt>
                <c:pt idx="130">
                  <c:v>7/6/2025</c:v>
                </c:pt>
                <c:pt idx="131">
                  <c:v>07/13/2025</c:v>
                </c:pt>
                <c:pt idx="132">
                  <c:v>07/20/2025</c:v>
                </c:pt>
                <c:pt idx="133">
                  <c:v>07/27/2025</c:v>
                </c:pt>
                <c:pt idx="134">
                  <c:v>8/3/2025</c:v>
                </c:pt>
                <c:pt idx="135">
                  <c:v>8/10/2025</c:v>
                </c:pt>
                <c:pt idx="136">
                  <c:v>08/17/2025</c:v>
                </c:pt>
                <c:pt idx="137">
                  <c:v>08/24/2025</c:v>
                </c:pt>
                <c:pt idx="138">
                  <c:v>08/31/2025</c:v>
                </c:pt>
                <c:pt idx="139">
                  <c:v>9/7/2025</c:v>
                </c:pt>
                <c:pt idx="140">
                  <c:v>09/14/2025</c:v>
                </c:pt>
                <c:pt idx="141">
                  <c:v>09/21/2025</c:v>
                </c:pt>
                <c:pt idx="142">
                  <c:v>09/28/2025</c:v>
                </c:pt>
                <c:pt idx="143">
                  <c:v>10/5/2025</c:v>
                </c:pt>
                <c:pt idx="144">
                  <c:v>10/12/2025</c:v>
                </c:pt>
                <c:pt idx="145">
                  <c:v>10/19/2025</c:v>
                </c:pt>
                <c:pt idx="146">
                  <c:v>10/26/2025</c:v>
                </c:pt>
                <c:pt idx="147">
                  <c:v>11/2/2025</c:v>
                </c:pt>
                <c:pt idx="148">
                  <c:v>11/9/2025</c:v>
                </c:pt>
              </c:strCache>
            </c:strRef>
          </c:cat>
          <c:val>
            <c:numRef>
              <c:f>'Malayan Banking Stock Price His'!$D$2:$D$150</c:f>
              <c:numCache>
                <c:formatCode>General</c:formatCode>
                <c:ptCount val="149"/>
                <c:pt idx="0">
                  <c:v>40610000</c:v>
                </c:pt>
                <c:pt idx="1">
                  <c:v>53280000</c:v>
                </c:pt>
                <c:pt idx="2">
                  <c:v>18440000</c:v>
                </c:pt>
                <c:pt idx="3">
                  <c:v>47880000</c:v>
                </c:pt>
                <c:pt idx="4">
                  <c:v>37660000</c:v>
                </c:pt>
                <c:pt idx="5">
                  <c:v>43340000</c:v>
                </c:pt>
                <c:pt idx="6">
                  <c:v>22050000</c:v>
                </c:pt>
                <c:pt idx="7">
                  <c:v>49550000</c:v>
                </c:pt>
                <c:pt idx="8">
                  <c:v>48680000</c:v>
                </c:pt>
                <c:pt idx="9">
                  <c:v>57350000</c:v>
                </c:pt>
                <c:pt idx="10">
                  <c:v>22180000</c:v>
                </c:pt>
                <c:pt idx="11">
                  <c:v>25090000</c:v>
                </c:pt>
                <c:pt idx="12">
                  <c:v>19390000</c:v>
                </c:pt>
                <c:pt idx="13">
                  <c:v>32020000.000000004</c:v>
                </c:pt>
                <c:pt idx="14">
                  <c:v>19050000</c:v>
                </c:pt>
                <c:pt idx="15">
                  <c:v>27470000</c:v>
                </c:pt>
                <c:pt idx="16">
                  <c:v>18050000</c:v>
                </c:pt>
                <c:pt idx="17">
                  <c:v>27970000</c:v>
                </c:pt>
                <c:pt idx="18">
                  <c:v>19660000</c:v>
                </c:pt>
                <c:pt idx="19">
                  <c:v>42490000</c:v>
                </c:pt>
                <c:pt idx="20">
                  <c:v>90710000</c:v>
                </c:pt>
                <c:pt idx="21">
                  <c:v>21690000</c:v>
                </c:pt>
                <c:pt idx="22">
                  <c:v>39750000</c:v>
                </c:pt>
                <c:pt idx="23">
                  <c:v>28970000</c:v>
                </c:pt>
                <c:pt idx="24">
                  <c:v>28300000</c:v>
                </c:pt>
                <c:pt idx="25">
                  <c:v>25200000</c:v>
                </c:pt>
                <c:pt idx="26">
                  <c:v>36570000</c:v>
                </c:pt>
                <c:pt idx="27">
                  <c:v>30450000</c:v>
                </c:pt>
                <c:pt idx="28">
                  <c:v>53400000</c:v>
                </c:pt>
                <c:pt idx="29">
                  <c:v>43640000</c:v>
                </c:pt>
                <c:pt idx="30">
                  <c:v>56960000</c:v>
                </c:pt>
                <c:pt idx="31">
                  <c:v>45790000</c:v>
                </c:pt>
                <c:pt idx="32">
                  <c:v>43680000</c:v>
                </c:pt>
                <c:pt idx="33">
                  <c:v>45380000</c:v>
                </c:pt>
                <c:pt idx="34">
                  <c:v>36630000</c:v>
                </c:pt>
                <c:pt idx="35">
                  <c:v>59450000</c:v>
                </c:pt>
                <c:pt idx="36">
                  <c:v>33340000.000000004</c:v>
                </c:pt>
                <c:pt idx="37">
                  <c:v>37510000</c:v>
                </c:pt>
                <c:pt idx="38">
                  <c:v>76250000</c:v>
                </c:pt>
                <c:pt idx="39">
                  <c:v>33740000</c:v>
                </c:pt>
                <c:pt idx="40">
                  <c:v>43370000</c:v>
                </c:pt>
                <c:pt idx="41">
                  <c:v>37980000</c:v>
                </c:pt>
                <c:pt idx="42">
                  <c:v>31030000</c:v>
                </c:pt>
                <c:pt idx="43">
                  <c:v>25690000</c:v>
                </c:pt>
                <c:pt idx="44">
                  <c:v>32630000.000000004</c:v>
                </c:pt>
                <c:pt idx="45">
                  <c:v>33630000</c:v>
                </c:pt>
                <c:pt idx="46">
                  <c:v>37640000</c:v>
                </c:pt>
                <c:pt idx="47">
                  <c:v>27870000</c:v>
                </c:pt>
                <c:pt idx="48">
                  <c:v>56390000</c:v>
                </c:pt>
                <c:pt idx="49">
                  <c:v>58240000</c:v>
                </c:pt>
                <c:pt idx="50">
                  <c:v>42380000</c:v>
                </c:pt>
                <c:pt idx="51">
                  <c:v>25150000</c:v>
                </c:pt>
                <c:pt idx="52">
                  <c:v>29380000</c:v>
                </c:pt>
                <c:pt idx="53">
                  <c:v>38180000</c:v>
                </c:pt>
                <c:pt idx="54">
                  <c:v>31020000</c:v>
                </c:pt>
                <c:pt idx="55">
                  <c:v>52640000</c:v>
                </c:pt>
                <c:pt idx="56">
                  <c:v>38780000</c:v>
                </c:pt>
                <c:pt idx="57">
                  <c:v>42060000</c:v>
                </c:pt>
                <c:pt idx="58">
                  <c:v>47220000</c:v>
                </c:pt>
                <c:pt idx="59">
                  <c:v>77440000</c:v>
                </c:pt>
                <c:pt idx="60">
                  <c:v>77480000</c:v>
                </c:pt>
                <c:pt idx="61">
                  <c:v>88480000</c:v>
                </c:pt>
                <c:pt idx="62">
                  <c:v>58410000</c:v>
                </c:pt>
                <c:pt idx="63">
                  <c:v>46700000</c:v>
                </c:pt>
                <c:pt idx="64">
                  <c:v>50460000</c:v>
                </c:pt>
                <c:pt idx="65">
                  <c:v>30510000</c:v>
                </c:pt>
                <c:pt idx="66">
                  <c:v>53050000</c:v>
                </c:pt>
                <c:pt idx="67">
                  <c:v>82140000</c:v>
                </c:pt>
                <c:pt idx="68">
                  <c:v>55240000</c:v>
                </c:pt>
                <c:pt idx="69">
                  <c:v>41620000</c:v>
                </c:pt>
                <c:pt idx="70">
                  <c:v>47120000</c:v>
                </c:pt>
                <c:pt idx="71">
                  <c:v>44030000</c:v>
                </c:pt>
                <c:pt idx="72">
                  <c:v>100990000</c:v>
                </c:pt>
                <c:pt idx="73">
                  <c:v>53910000</c:v>
                </c:pt>
                <c:pt idx="74">
                  <c:v>30940000</c:v>
                </c:pt>
                <c:pt idx="75">
                  <c:v>55400000</c:v>
                </c:pt>
                <c:pt idx="76">
                  <c:v>58210000</c:v>
                </c:pt>
                <c:pt idx="77">
                  <c:v>31490000</c:v>
                </c:pt>
                <c:pt idx="78">
                  <c:v>48970000</c:v>
                </c:pt>
                <c:pt idx="79">
                  <c:v>55090000</c:v>
                </c:pt>
                <c:pt idx="80">
                  <c:v>32110000</c:v>
                </c:pt>
                <c:pt idx="81">
                  <c:v>57710000</c:v>
                </c:pt>
                <c:pt idx="82">
                  <c:v>85600000</c:v>
                </c:pt>
                <c:pt idx="83">
                  <c:v>48330000</c:v>
                </c:pt>
                <c:pt idx="84">
                  <c:v>74900000</c:v>
                </c:pt>
                <c:pt idx="85">
                  <c:v>98430000</c:v>
                </c:pt>
                <c:pt idx="86">
                  <c:v>75190000</c:v>
                </c:pt>
                <c:pt idx="87">
                  <c:v>125590000</c:v>
                </c:pt>
                <c:pt idx="88">
                  <c:v>70030000</c:v>
                </c:pt>
                <c:pt idx="89">
                  <c:v>40900000</c:v>
                </c:pt>
                <c:pt idx="90">
                  <c:v>51890000</c:v>
                </c:pt>
                <c:pt idx="91">
                  <c:v>33850000</c:v>
                </c:pt>
                <c:pt idx="92">
                  <c:v>34440000</c:v>
                </c:pt>
                <c:pt idx="93">
                  <c:v>34580000</c:v>
                </c:pt>
                <c:pt idx="94">
                  <c:v>64099999.999999993</c:v>
                </c:pt>
                <c:pt idx="95">
                  <c:v>39520000</c:v>
                </c:pt>
                <c:pt idx="96">
                  <c:v>42720000</c:v>
                </c:pt>
                <c:pt idx="97">
                  <c:v>62090000</c:v>
                </c:pt>
                <c:pt idx="98">
                  <c:v>83720000</c:v>
                </c:pt>
                <c:pt idx="99">
                  <c:v>52640000</c:v>
                </c:pt>
                <c:pt idx="100">
                  <c:v>48920000</c:v>
                </c:pt>
                <c:pt idx="101">
                  <c:v>61910000</c:v>
                </c:pt>
                <c:pt idx="102">
                  <c:v>19070000</c:v>
                </c:pt>
                <c:pt idx="103">
                  <c:v>23570000</c:v>
                </c:pt>
                <c:pt idx="104">
                  <c:v>40500000</c:v>
                </c:pt>
                <c:pt idx="105">
                  <c:v>66780000</c:v>
                </c:pt>
                <c:pt idx="106">
                  <c:v>44280000</c:v>
                </c:pt>
                <c:pt idx="107">
                  <c:v>14570000</c:v>
                </c:pt>
                <c:pt idx="108">
                  <c:v>41150000</c:v>
                </c:pt>
                <c:pt idx="109">
                  <c:v>30400000</c:v>
                </c:pt>
                <c:pt idx="110">
                  <c:v>48140000</c:v>
                </c:pt>
                <c:pt idx="111">
                  <c:v>65110000</c:v>
                </c:pt>
                <c:pt idx="112">
                  <c:v>49430000</c:v>
                </c:pt>
                <c:pt idx="113">
                  <c:v>72520000</c:v>
                </c:pt>
                <c:pt idx="114">
                  <c:v>56560000</c:v>
                </c:pt>
                <c:pt idx="115">
                  <c:v>60870000</c:v>
                </c:pt>
                <c:pt idx="116">
                  <c:v>26590000</c:v>
                </c:pt>
                <c:pt idx="117">
                  <c:v>115200000</c:v>
                </c:pt>
                <c:pt idx="118">
                  <c:v>34610000</c:v>
                </c:pt>
                <c:pt idx="119">
                  <c:v>36060000</c:v>
                </c:pt>
                <c:pt idx="120">
                  <c:v>48900000</c:v>
                </c:pt>
                <c:pt idx="121">
                  <c:v>48740000</c:v>
                </c:pt>
                <c:pt idx="122">
                  <c:v>67400000</c:v>
                </c:pt>
                <c:pt idx="123">
                  <c:v>50440000</c:v>
                </c:pt>
                <c:pt idx="124">
                  <c:v>64790000.000000007</c:v>
                </c:pt>
                <c:pt idx="125">
                  <c:v>33710000</c:v>
                </c:pt>
                <c:pt idx="126">
                  <c:v>37910000</c:v>
                </c:pt>
                <c:pt idx="127">
                  <c:v>51090000</c:v>
                </c:pt>
                <c:pt idx="128">
                  <c:v>48250000</c:v>
                </c:pt>
                <c:pt idx="129">
                  <c:v>52580000</c:v>
                </c:pt>
                <c:pt idx="130">
                  <c:v>54960000</c:v>
                </c:pt>
                <c:pt idx="131">
                  <c:v>51550000</c:v>
                </c:pt>
                <c:pt idx="132">
                  <c:v>64140000</c:v>
                </c:pt>
                <c:pt idx="133">
                  <c:v>70830000</c:v>
                </c:pt>
                <c:pt idx="134">
                  <c:v>54610000</c:v>
                </c:pt>
                <c:pt idx="135">
                  <c:v>65519999.999999993</c:v>
                </c:pt>
                <c:pt idx="136">
                  <c:v>76210000</c:v>
                </c:pt>
                <c:pt idx="137">
                  <c:v>133810000</c:v>
                </c:pt>
                <c:pt idx="138">
                  <c:v>31280000</c:v>
                </c:pt>
                <c:pt idx="139">
                  <c:v>56570000</c:v>
                </c:pt>
                <c:pt idx="140">
                  <c:v>33540000</c:v>
                </c:pt>
                <c:pt idx="141">
                  <c:v>50260000</c:v>
                </c:pt>
                <c:pt idx="142">
                  <c:v>54950000</c:v>
                </c:pt>
                <c:pt idx="143">
                  <c:v>37350000</c:v>
                </c:pt>
                <c:pt idx="144">
                  <c:v>53410000</c:v>
                </c:pt>
                <c:pt idx="145">
                  <c:v>43010000</c:v>
                </c:pt>
                <c:pt idx="146">
                  <c:v>47130000</c:v>
                </c:pt>
                <c:pt idx="147">
                  <c:v>56070000</c:v>
                </c:pt>
                <c:pt idx="148">
                  <c:v>47190000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9-4460-A0A2-2CC3ADC2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061104"/>
        <c:axId val="2300659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'Malayan Banking Stock Price His'!$C$1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'Malayan Banking Stock Price His'!$A$2:$A$150</c15:sqref>
                        </c15:formulaRef>
                      </c:ext>
                    </c:extLst>
                    <c:strCache>
                      <c:ptCount val="149"/>
                      <c:pt idx="0">
                        <c:v>1/8/2023</c:v>
                      </c:pt>
                      <c:pt idx="1">
                        <c:v>01/15/2023</c:v>
                      </c:pt>
                      <c:pt idx="2">
                        <c:v>01/22/2023</c:v>
                      </c:pt>
                      <c:pt idx="3">
                        <c:v>01/29/2023</c:v>
                      </c:pt>
                      <c:pt idx="4">
                        <c:v>2/5/2023</c:v>
                      </c:pt>
                      <c:pt idx="5">
                        <c:v>2/12/2023</c:v>
                      </c:pt>
                      <c:pt idx="6">
                        <c:v>02/19/2023</c:v>
                      </c:pt>
                      <c:pt idx="7">
                        <c:v>02/26/2023</c:v>
                      </c:pt>
                      <c:pt idx="8">
                        <c:v>3/5/2023</c:v>
                      </c:pt>
                      <c:pt idx="9">
                        <c:v>3/12/2023</c:v>
                      </c:pt>
                      <c:pt idx="10">
                        <c:v>03/19/2023</c:v>
                      </c:pt>
                      <c:pt idx="11">
                        <c:v>03/26/2023</c:v>
                      </c:pt>
                      <c:pt idx="12">
                        <c:v>4/2/2023</c:v>
                      </c:pt>
                      <c:pt idx="13">
                        <c:v>4/9/2023</c:v>
                      </c:pt>
                      <c:pt idx="14">
                        <c:v>04/16/2023</c:v>
                      </c:pt>
                      <c:pt idx="15">
                        <c:v>04/23/2023</c:v>
                      </c:pt>
                      <c:pt idx="16">
                        <c:v>04/30/2023</c:v>
                      </c:pt>
                      <c:pt idx="17">
                        <c:v>5/7/2023</c:v>
                      </c:pt>
                      <c:pt idx="18">
                        <c:v>05/14/2023</c:v>
                      </c:pt>
                      <c:pt idx="19">
                        <c:v>05/21/2023</c:v>
                      </c:pt>
                      <c:pt idx="20">
                        <c:v>05/28/2023</c:v>
                      </c:pt>
                      <c:pt idx="21">
                        <c:v>6/4/2023</c:v>
                      </c:pt>
                      <c:pt idx="22">
                        <c:v>6/11/2023</c:v>
                      </c:pt>
                      <c:pt idx="23">
                        <c:v>06/18/2023</c:v>
                      </c:pt>
                      <c:pt idx="24">
                        <c:v>06/25/2023</c:v>
                      </c:pt>
                      <c:pt idx="25">
                        <c:v>7/2/2023</c:v>
                      </c:pt>
                      <c:pt idx="26">
                        <c:v>7/9/2023</c:v>
                      </c:pt>
                      <c:pt idx="27">
                        <c:v>07/16/2023</c:v>
                      </c:pt>
                      <c:pt idx="28">
                        <c:v>07/23/2023</c:v>
                      </c:pt>
                      <c:pt idx="29">
                        <c:v>07/30/2023</c:v>
                      </c:pt>
                      <c:pt idx="30">
                        <c:v>8/6/2023</c:v>
                      </c:pt>
                      <c:pt idx="31">
                        <c:v>08/13/2023</c:v>
                      </c:pt>
                      <c:pt idx="32">
                        <c:v>08/20/2023</c:v>
                      </c:pt>
                      <c:pt idx="33">
                        <c:v>08/27/2023</c:v>
                      </c:pt>
                      <c:pt idx="34">
                        <c:v>9/3/2023</c:v>
                      </c:pt>
                      <c:pt idx="35">
                        <c:v>9/10/2023</c:v>
                      </c:pt>
                      <c:pt idx="36">
                        <c:v>09/17/2023</c:v>
                      </c:pt>
                      <c:pt idx="37">
                        <c:v>09/24/2023</c:v>
                      </c:pt>
                      <c:pt idx="38">
                        <c:v>10/1/2023</c:v>
                      </c:pt>
                      <c:pt idx="39">
                        <c:v>10/8/2023</c:v>
                      </c:pt>
                      <c:pt idx="40">
                        <c:v>10/15/2023</c:v>
                      </c:pt>
                      <c:pt idx="41">
                        <c:v>10/22/2023</c:v>
                      </c:pt>
                      <c:pt idx="42">
                        <c:v>10/29/2023</c:v>
                      </c:pt>
                      <c:pt idx="43">
                        <c:v>11/5/2023</c:v>
                      </c:pt>
                      <c:pt idx="44">
                        <c:v>11/12/2023</c:v>
                      </c:pt>
                      <c:pt idx="45">
                        <c:v>11/19/2023</c:v>
                      </c:pt>
                      <c:pt idx="46">
                        <c:v>11/26/2023</c:v>
                      </c:pt>
                      <c:pt idx="47">
                        <c:v>12/3/2023</c:v>
                      </c:pt>
                      <c:pt idx="48">
                        <c:v>12/10/2023</c:v>
                      </c:pt>
                      <c:pt idx="49">
                        <c:v>12/17/2023</c:v>
                      </c:pt>
                      <c:pt idx="50">
                        <c:v>12/24/2023</c:v>
                      </c:pt>
                      <c:pt idx="51">
                        <c:v>12/31/2023</c:v>
                      </c:pt>
                      <c:pt idx="52">
                        <c:v>1/7/2024</c:v>
                      </c:pt>
                      <c:pt idx="53">
                        <c:v>01/14/2024</c:v>
                      </c:pt>
                      <c:pt idx="54">
                        <c:v>01/21/2024</c:v>
                      </c:pt>
                      <c:pt idx="55">
                        <c:v>01/28/2024</c:v>
                      </c:pt>
                      <c:pt idx="56">
                        <c:v>2/4/2024</c:v>
                      </c:pt>
                      <c:pt idx="57">
                        <c:v>2/11/2024</c:v>
                      </c:pt>
                      <c:pt idx="58">
                        <c:v>02/18/2024</c:v>
                      </c:pt>
                      <c:pt idx="59">
                        <c:v>02/25/2024</c:v>
                      </c:pt>
                      <c:pt idx="60">
                        <c:v>3/3/2024</c:v>
                      </c:pt>
                      <c:pt idx="61">
                        <c:v>3/10/2024</c:v>
                      </c:pt>
                      <c:pt idx="62">
                        <c:v>03/17/2024</c:v>
                      </c:pt>
                      <c:pt idx="63">
                        <c:v>03/24/2024</c:v>
                      </c:pt>
                      <c:pt idx="64">
                        <c:v>03/31/2024</c:v>
                      </c:pt>
                      <c:pt idx="65">
                        <c:v>4/7/2024</c:v>
                      </c:pt>
                      <c:pt idx="66">
                        <c:v>04/14/2024</c:v>
                      </c:pt>
                      <c:pt idx="67">
                        <c:v>04/21/2024</c:v>
                      </c:pt>
                      <c:pt idx="68">
                        <c:v>04/28/2024</c:v>
                      </c:pt>
                      <c:pt idx="69">
                        <c:v>5/5/2024</c:v>
                      </c:pt>
                      <c:pt idx="70">
                        <c:v>5/12/2024</c:v>
                      </c:pt>
                      <c:pt idx="71">
                        <c:v>05/19/2024</c:v>
                      </c:pt>
                      <c:pt idx="72">
                        <c:v>05/26/2024</c:v>
                      </c:pt>
                      <c:pt idx="73">
                        <c:v>6/2/2024</c:v>
                      </c:pt>
                      <c:pt idx="74">
                        <c:v>6/9/2024</c:v>
                      </c:pt>
                      <c:pt idx="75">
                        <c:v>06/16/2024</c:v>
                      </c:pt>
                      <c:pt idx="76">
                        <c:v>06/23/2024</c:v>
                      </c:pt>
                      <c:pt idx="77">
                        <c:v>06/30/2024</c:v>
                      </c:pt>
                      <c:pt idx="78">
                        <c:v>7/7/2024</c:v>
                      </c:pt>
                      <c:pt idx="79">
                        <c:v>07/14/2024</c:v>
                      </c:pt>
                      <c:pt idx="80">
                        <c:v>07/21/2024</c:v>
                      </c:pt>
                      <c:pt idx="81">
                        <c:v>07/28/2024</c:v>
                      </c:pt>
                      <c:pt idx="82">
                        <c:v>8/4/2024</c:v>
                      </c:pt>
                      <c:pt idx="83">
                        <c:v>8/11/2024</c:v>
                      </c:pt>
                      <c:pt idx="84">
                        <c:v>08/18/2024</c:v>
                      </c:pt>
                      <c:pt idx="85">
                        <c:v>08/25/2024</c:v>
                      </c:pt>
                      <c:pt idx="86">
                        <c:v>9/1/2024</c:v>
                      </c:pt>
                      <c:pt idx="87">
                        <c:v>9/8/2024</c:v>
                      </c:pt>
                      <c:pt idx="88">
                        <c:v>09/15/2024</c:v>
                      </c:pt>
                      <c:pt idx="89">
                        <c:v>09/22/2024</c:v>
                      </c:pt>
                      <c:pt idx="90">
                        <c:v>09/29/2024</c:v>
                      </c:pt>
                      <c:pt idx="91">
                        <c:v>10/6/2024</c:v>
                      </c:pt>
                      <c:pt idx="92">
                        <c:v>10/13/2024</c:v>
                      </c:pt>
                      <c:pt idx="93">
                        <c:v>10/20/2024</c:v>
                      </c:pt>
                      <c:pt idx="94">
                        <c:v>10/27/2024</c:v>
                      </c:pt>
                      <c:pt idx="95">
                        <c:v>11/3/2024</c:v>
                      </c:pt>
                      <c:pt idx="96">
                        <c:v>11/10/2024</c:v>
                      </c:pt>
                      <c:pt idx="97">
                        <c:v>11/17/2024</c:v>
                      </c:pt>
                      <c:pt idx="98">
                        <c:v>11/24/2024</c:v>
                      </c:pt>
                      <c:pt idx="99">
                        <c:v>12/1/2024</c:v>
                      </c:pt>
                      <c:pt idx="100">
                        <c:v>12/8/2024</c:v>
                      </c:pt>
                      <c:pt idx="101">
                        <c:v>12/15/2024</c:v>
                      </c:pt>
                      <c:pt idx="102">
                        <c:v>12/22/2024</c:v>
                      </c:pt>
                      <c:pt idx="103">
                        <c:v>12/29/2024</c:v>
                      </c:pt>
                      <c:pt idx="104">
                        <c:v>1/5/2025</c:v>
                      </c:pt>
                      <c:pt idx="105">
                        <c:v>1/12/2025</c:v>
                      </c:pt>
                      <c:pt idx="106">
                        <c:v>01/19/2025</c:v>
                      </c:pt>
                      <c:pt idx="107">
                        <c:v>01/26/2025</c:v>
                      </c:pt>
                      <c:pt idx="108">
                        <c:v>2/2/2025</c:v>
                      </c:pt>
                      <c:pt idx="109">
                        <c:v>2/9/2025</c:v>
                      </c:pt>
                      <c:pt idx="110">
                        <c:v>02/16/2025</c:v>
                      </c:pt>
                      <c:pt idx="111">
                        <c:v>02/23/2025</c:v>
                      </c:pt>
                      <c:pt idx="112">
                        <c:v>3/2/2025</c:v>
                      </c:pt>
                      <c:pt idx="113">
                        <c:v>3/9/2025</c:v>
                      </c:pt>
                      <c:pt idx="114">
                        <c:v>03/16/2025</c:v>
                      </c:pt>
                      <c:pt idx="115">
                        <c:v>03/23/2025</c:v>
                      </c:pt>
                      <c:pt idx="116">
                        <c:v>03/30/2025</c:v>
                      </c:pt>
                      <c:pt idx="117">
                        <c:v>4/6/2025</c:v>
                      </c:pt>
                      <c:pt idx="118">
                        <c:v>04/13/2025</c:v>
                      </c:pt>
                      <c:pt idx="119">
                        <c:v>04/20/2025</c:v>
                      </c:pt>
                      <c:pt idx="120">
                        <c:v>04/27/2025</c:v>
                      </c:pt>
                      <c:pt idx="121">
                        <c:v>5/4/2025</c:v>
                      </c:pt>
                      <c:pt idx="122">
                        <c:v>5/11/2025</c:v>
                      </c:pt>
                      <c:pt idx="123">
                        <c:v>05/18/2025</c:v>
                      </c:pt>
                      <c:pt idx="124">
                        <c:v>05/25/2025</c:v>
                      </c:pt>
                      <c:pt idx="125">
                        <c:v>6/1/2025</c:v>
                      </c:pt>
                      <c:pt idx="126">
                        <c:v>6/8/2025</c:v>
                      </c:pt>
                      <c:pt idx="127">
                        <c:v>06/15/2025</c:v>
                      </c:pt>
                      <c:pt idx="128">
                        <c:v>06/22/2025</c:v>
                      </c:pt>
                      <c:pt idx="129">
                        <c:v>06/29/2025</c:v>
                      </c:pt>
                      <c:pt idx="130">
                        <c:v>7/6/2025</c:v>
                      </c:pt>
                      <c:pt idx="131">
                        <c:v>07/13/2025</c:v>
                      </c:pt>
                      <c:pt idx="132">
                        <c:v>07/20/2025</c:v>
                      </c:pt>
                      <c:pt idx="133">
                        <c:v>07/27/2025</c:v>
                      </c:pt>
                      <c:pt idx="134">
                        <c:v>8/3/2025</c:v>
                      </c:pt>
                      <c:pt idx="135">
                        <c:v>8/10/2025</c:v>
                      </c:pt>
                      <c:pt idx="136">
                        <c:v>08/17/2025</c:v>
                      </c:pt>
                      <c:pt idx="137">
                        <c:v>08/24/2025</c:v>
                      </c:pt>
                      <c:pt idx="138">
                        <c:v>08/31/2025</c:v>
                      </c:pt>
                      <c:pt idx="139">
                        <c:v>9/7/2025</c:v>
                      </c:pt>
                      <c:pt idx="140">
                        <c:v>09/14/2025</c:v>
                      </c:pt>
                      <c:pt idx="141">
                        <c:v>09/21/2025</c:v>
                      </c:pt>
                      <c:pt idx="142">
                        <c:v>09/28/2025</c:v>
                      </c:pt>
                      <c:pt idx="143">
                        <c:v>10/5/2025</c:v>
                      </c:pt>
                      <c:pt idx="144">
                        <c:v>10/12/2025</c:v>
                      </c:pt>
                      <c:pt idx="145">
                        <c:v>10/19/2025</c:v>
                      </c:pt>
                      <c:pt idx="146">
                        <c:v>10/26/2025</c:v>
                      </c:pt>
                      <c:pt idx="147">
                        <c:v>11/2/2025</c:v>
                      </c:pt>
                      <c:pt idx="14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'Malayan Banking Stock Price His'!$C$2:$C$150</c15:sqref>
                        </c15:formulaRef>
                      </c:ext>
                    </c:extLst>
                    <c:numCache>
                      <c:formatCode>General</c:formatCode>
                      <c:ptCount val="149"/>
                      <c:pt idx="0">
                        <c:v>40.61</c:v>
                      </c:pt>
                      <c:pt idx="1">
                        <c:v>53.28</c:v>
                      </c:pt>
                      <c:pt idx="2">
                        <c:v>18.440000000000001</c:v>
                      </c:pt>
                      <c:pt idx="3">
                        <c:v>47.88</c:v>
                      </c:pt>
                      <c:pt idx="4">
                        <c:v>37.659999999999997</c:v>
                      </c:pt>
                      <c:pt idx="5">
                        <c:v>43.34</c:v>
                      </c:pt>
                      <c:pt idx="6">
                        <c:v>22.05</c:v>
                      </c:pt>
                      <c:pt idx="7">
                        <c:v>49.55</c:v>
                      </c:pt>
                      <c:pt idx="8">
                        <c:v>48.68</c:v>
                      </c:pt>
                      <c:pt idx="9">
                        <c:v>57.35</c:v>
                      </c:pt>
                      <c:pt idx="10">
                        <c:v>22.18</c:v>
                      </c:pt>
                      <c:pt idx="11">
                        <c:v>25.09</c:v>
                      </c:pt>
                      <c:pt idx="12">
                        <c:v>19.39</c:v>
                      </c:pt>
                      <c:pt idx="13">
                        <c:v>32.020000000000003</c:v>
                      </c:pt>
                      <c:pt idx="14">
                        <c:v>19.05</c:v>
                      </c:pt>
                      <c:pt idx="15">
                        <c:v>27.47</c:v>
                      </c:pt>
                      <c:pt idx="16">
                        <c:v>18.05</c:v>
                      </c:pt>
                      <c:pt idx="17">
                        <c:v>27.97</c:v>
                      </c:pt>
                      <c:pt idx="18">
                        <c:v>19.66</c:v>
                      </c:pt>
                      <c:pt idx="19">
                        <c:v>42.49</c:v>
                      </c:pt>
                      <c:pt idx="20">
                        <c:v>90.71</c:v>
                      </c:pt>
                      <c:pt idx="21">
                        <c:v>21.69</c:v>
                      </c:pt>
                      <c:pt idx="22">
                        <c:v>39.75</c:v>
                      </c:pt>
                      <c:pt idx="23">
                        <c:v>28.97</c:v>
                      </c:pt>
                      <c:pt idx="24">
                        <c:v>28.3</c:v>
                      </c:pt>
                      <c:pt idx="25">
                        <c:v>25.2</c:v>
                      </c:pt>
                      <c:pt idx="26">
                        <c:v>36.57</c:v>
                      </c:pt>
                      <c:pt idx="27">
                        <c:v>30.45</c:v>
                      </c:pt>
                      <c:pt idx="28">
                        <c:v>53.4</c:v>
                      </c:pt>
                      <c:pt idx="29">
                        <c:v>43.64</c:v>
                      </c:pt>
                      <c:pt idx="30">
                        <c:v>56.96</c:v>
                      </c:pt>
                      <c:pt idx="31">
                        <c:v>45.79</c:v>
                      </c:pt>
                      <c:pt idx="32">
                        <c:v>43.68</c:v>
                      </c:pt>
                      <c:pt idx="33">
                        <c:v>45.38</c:v>
                      </c:pt>
                      <c:pt idx="34">
                        <c:v>36.630000000000003</c:v>
                      </c:pt>
                      <c:pt idx="35">
                        <c:v>59.45</c:v>
                      </c:pt>
                      <c:pt idx="36">
                        <c:v>33.340000000000003</c:v>
                      </c:pt>
                      <c:pt idx="37">
                        <c:v>37.51</c:v>
                      </c:pt>
                      <c:pt idx="38">
                        <c:v>76.25</c:v>
                      </c:pt>
                      <c:pt idx="39">
                        <c:v>33.74</c:v>
                      </c:pt>
                      <c:pt idx="40">
                        <c:v>43.37</c:v>
                      </c:pt>
                      <c:pt idx="41">
                        <c:v>37.979999999999997</c:v>
                      </c:pt>
                      <c:pt idx="42">
                        <c:v>31.03</c:v>
                      </c:pt>
                      <c:pt idx="43">
                        <c:v>25.69</c:v>
                      </c:pt>
                      <c:pt idx="44">
                        <c:v>32.630000000000003</c:v>
                      </c:pt>
                      <c:pt idx="45">
                        <c:v>33.630000000000003</c:v>
                      </c:pt>
                      <c:pt idx="46">
                        <c:v>37.64</c:v>
                      </c:pt>
                      <c:pt idx="47">
                        <c:v>27.87</c:v>
                      </c:pt>
                      <c:pt idx="48">
                        <c:v>56.39</c:v>
                      </c:pt>
                      <c:pt idx="49">
                        <c:v>58.24</c:v>
                      </c:pt>
                      <c:pt idx="50">
                        <c:v>42.38</c:v>
                      </c:pt>
                      <c:pt idx="51">
                        <c:v>25.15</c:v>
                      </c:pt>
                      <c:pt idx="52">
                        <c:v>29.38</c:v>
                      </c:pt>
                      <c:pt idx="53">
                        <c:v>38.18</c:v>
                      </c:pt>
                      <c:pt idx="54">
                        <c:v>31.02</c:v>
                      </c:pt>
                      <c:pt idx="55">
                        <c:v>52.64</c:v>
                      </c:pt>
                      <c:pt idx="56">
                        <c:v>38.78</c:v>
                      </c:pt>
                      <c:pt idx="57">
                        <c:v>42.06</c:v>
                      </c:pt>
                      <c:pt idx="58">
                        <c:v>47.22</c:v>
                      </c:pt>
                      <c:pt idx="59">
                        <c:v>77.44</c:v>
                      </c:pt>
                      <c:pt idx="60">
                        <c:v>77.48</c:v>
                      </c:pt>
                      <c:pt idx="61">
                        <c:v>88.48</c:v>
                      </c:pt>
                      <c:pt idx="62">
                        <c:v>58.41</c:v>
                      </c:pt>
                      <c:pt idx="63">
                        <c:v>46.7</c:v>
                      </c:pt>
                      <c:pt idx="64">
                        <c:v>50.46</c:v>
                      </c:pt>
                      <c:pt idx="65">
                        <c:v>30.51</c:v>
                      </c:pt>
                      <c:pt idx="66">
                        <c:v>53.05</c:v>
                      </c:pt>
                      <c:pt idx="67">
                        <c:v>82.14</c:v>
                      </c:pt>
                      <c:pt idx="68">
                        <c:v>55.24</c:v>
                      </c:pt>
                      <c:pt idx="69">
                        <c:v>41.62</c:v>
                      </c:pt>
                      <c:pt idx="70">
                        <c:v>47.12</c:v>
                      </c:pt>
                      <c:pt idx="71">
                        <c:v>44.03</c:v>
                      </c:pt>
                      <c:pt idx="72">
                        <c:v>100.99</c:v>
                      </c:pt>
                      <c:pt idx="73">
                        <c:v>53.91</c:v>
                      </c:pt>
                      <c:pt idx="74">
                        <c:v>30.94</c:v>
                      </c:pt>
                      <c:pt idx="75">
                        <c:v>55.4</c:v>
                      </c:pt>
                      <c:pt idx="76">
                        <c:v>58.21</c:v>
                      </c:pt>
                      <c:pt idx="77">
                        <c:v>31.49</c:v>
                      </c:pt>
                      <c:pt idx="78">
                        <c:v>48.97</c:v>
                      </c:pt>
                      <c:pt idx="79">
                        <c:v>55.09</c:v>
                      </c:pt>
                      <c:pt idx="80">
                        <c:v>32.11</c:v>
                      </c:pt>
                      <c:pt idx="81">
                        <c:v>57.71</c:v>
                      </c:pt>
                      <c:pt idx="82">
                        <c:v>85.6</c:v>
                      </c:pt>
                      <c:pt idx="83">
                        <c:v>48.33</c:v>
                      </c:pt>
                      <c:pt idx="84">
                        <c:v>74.900000000000006</c:v>
                      </c:pt>
                      <c:pt idx="85">
                        <c:v>98.43</c:v>
                      </c:pt>
                      <c:pt idx="86">
                        <c:v>75.19</c:v>
                      </c:pt>
                      <c:pt idx="87">
                        <c:v>125.59</c:v>
                      </c:pt>
                      <c:pt idx="88">
                        <c:v>70.03</c:v>
                      </c:pt>
                      <c:pt idx="89">
                        <c:v>40.9</c:v>
                      </c:pt>
                      <c:pt idx="90">
                        <c:v>51.89</c:v>
                      </c:pt>
                      <c:pt idx="91">
                        <c:v>33.85</c:v>
                      </c:pt>
                      <c:pt idx="92">
                        <c:v>34.44</c:v>
                      </c:pt>
                      <c:pt idx="93">
                        <c:v>34.58</c:v>
                      </c:pt>
                      <c:pt idx="94">
                        <c:v>64.099999999999994</c:v>
                      </c:pt>
                      <c:pt idx="95">
                        <c:v>39.520000000000003</c:v>
                      </c:pt>
                      <c:pt idx="96">
                        <c:v>42.72</c:v>
                      </c:pt>
                      <c:pt idx="97">
                        <c:v>62.09</c:v>
                      </c:pt>
                      <c:pt idx="98">
                        <c:v>83.72</c:v>
                      </c:pt>
                      <c:pt idx="99">
                        <c:v>52.64</c:v>
                      </c:pt>
                      <c:pt idx="100">
                        <c:v>48.92</c:v>
                      </c:pt>
                      <c:pt idx="101">
                        <c:v>61.91</c:v>
                      </c:pt>
                      <c:pt idx="102">
                        <c:v>19.07</c:v>
                      </c:pt>
                      <c:pt idx="103">
                        <c:v>23.57</c:v>
                      </c:pt>
                      <c:pt idx="104">
                        <c:v>40.5</c:v>
                      </c:pt>
                      <c:pt idx="105">
                        <c:v>66.78</c:v>
                      </c:pt>
                      <c:pt idx="106">
                        <c:v>44.28</c:v>
                      </c:pt>
                      <c:pt idx="107">
                        <c:v>14.57</c:v>
                      </c:pt>
                      <c:pt idx="108">
                        <c:v>41.15</c:v>
                      </c:pt>
                      <c:pt idx="109">
                        <c:v>30.4</c:v>
                      </c:pt>
                      <c:pt idx="110">
                        <c:v>48.14</c:v>
                      </c:pt>
                      <c:pt idx="111">
                        <c:v>65.11</c:v>
                      </c:pt>
                      <c:pt idx="112">
                        <c:v>49.43</c:v>
                      </c:pt>
                      <c:pt idx="113">
                        <c:v>72.52</c:v>
                      </c:pt>
                      <c:pt idx="114">
                        <c:v>56.56</c:v>
                      </c:pt>
                      <c:pt idx="115">
                        <c:v>60.87</c:v>
                      </c:pt>
                      <c:pt idx="116">
                        <c:v>26.59</c:v>
                      </c:pt>
                      <c:pt idx="117">
                        <c:v>115.2</c:v>
                      </c:pt>
                      <c:pt idx="118">
                        <c:v>34.61</c:v>
                      </c:pt>
                      <c:pt idx="119">
                        <c:v>36.06</c:v>
                      </c:pt>
                      <c:pt idx="120">
                        <c:v>48.9</c:v>
                      </c:pt>
                      <c:pt idx="121">
                        <c:v>48.74</c:v>
                      </c:pt>
                      <c:pt idx="122">
                        <c:v>67.400000000000006</c:v>
                      </c:pt>
                      <c:pt idx="123">
                        <c:v>50.44</c:v>
                      </c:pt>
                      <c:pt idx="124">
                        <c:v>64.790000000000006</c:v>
                      </c:pt>
                      <c:pt idx="125">
                        <c:v>33.71</c:v>
                      </c:pt>
                      <c:pt idx="126">
                        <c:v>37.909999999999997</c:v>
                      </c:pt>
                      <c:pt idx="127">
                        <c:v>51.09</c:v>
                      </c:pt>
                      <c:pt idx="128">
                        <c:v>48.25</c:v>
                      </c:pt>
                      <c:pt idx="129">
                        <c:v>52.58</c:v>
                      </c:pt>
                      <c:pt idx="130">
                        <c:v>54.96</c:v>
                      </c:pt>
                      <c:pt idx="131">
                        <c:v>51.55</c:v>
                      </c:pt>
                      <c:pt idx="132">
                        <c:v>64.14</c:v>
                      </c:pt>
                      <c:pt idx="133">
                        <c:v>70.83</c:v>
                      </c:pt>
                      <c:pt idx="134">
                        <c:v>54.61</c:v>
                      </c:pt>
                      <c:pt idx="135">
                        <c:v>65.52</c:v>
                      </c:pt>
                      <c:pt idx="136">
                        <c:v>76.209999999999994</c:v>
                      </c:pt>
                      <c:pt idx="137">
                        <c:v>133.81</c:v>
                      </c:pt>
                      <c:pt idx="138">
                        <c:v>31.28</c:v>
                      </c:pt>
                      <c:pt idx="139">
                        <c:v>56.57</c:v>
                      </c:pt>
                      <c:pt idx="140">
                        <c:v>33.54</c:v>
                      </c:pt>
                      <c:pt idx="141">
                        <c:v>50.26</c:v>
                      </c:pt>
                      <c:pt idx="142">
                        <c:v>54.95</c:v>
                      </c:pt>
                      <c:pt idx="143">
                        <c:v>37.35</c:v>
                      </c:pt>
                      <c:pt idx="144">
                        <c:v>53.41</c:v>
                      </c:pt>
                      <c:pt idx="145">
                        <c:v>43.01</c:v>
                      </c:pt>
                      <c:pt idx="146">
                        <c:v>47.13</c:v>
                      </c:pt>
                      <c:pt idx="147">
                        <c:v>56.07</c:v>
                      </c:pt>
                      <c:pt idx="14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3D9-4460-A0A2-2CC3ADC24BB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'Malayan Banking Stock Price His'!$B$1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'Malayan Banking Stock Price His'!$A$2:$A$150</c:f>
              <c:strCache>
                <c:ptCount val="149"/>
                <c:pt idx="0">
                  <c:v>1/8/2023</c:v>
                </c:pt>
                <c:pt idx="1">
                  <c:v>01/15/2023</c:v>
                </c:pt>
                <c:pt idx="2">
                  <c:v>01/22/2023</c:v>
                </c:pt>
                <c:pt idx="3">
                  <c:v>01/29/2023</c:v>
                </c:pt>
                <c:pt idx="4">
                  <c:v>2/5/2023</c:v>
                </c:pt>
                <c:pt idx="5">
                  <c:v>2/12/2023</c:v>
                </c:pt>
                <c:pt idx="6">
                  <c:v>02/19/2023</c:v>
                </c:pt>
                <c:pt idx="7">
                  <c:v>02/26/2023</c:v>
                </c:pt>
                <c:pt idx="8">
                  <c:v>3/5/2023</c:v>
                </c:pt>
                <c:pt idx="9">
                  <c:v>3/12/2023</c:v>
                </c:pt>
                <c:pt idx="10">
                  <c:v>03/19/2023</c:v>
                </c:pt>
                <c:pt idx="11">
                  <c:v>03/26/2023</c:v>
                </c:pt>
                <c:pt idx="12">
                  <c:v>4/2/2023</c:v>
                </c:pt>
                <c:pt idx="13">
                  <c:v>4/9/2023</c:v>
                </c:pt>
                <c:pt idx="14">
                  <c:v>04/16/2023</c:v>
                </c:pt>
                <c:pt idx="15">
                  <c:v>04/23/2023</c:v>
                </c:pt>
                <c:pt idx="16">
                  <c:v>04/30/2023</c:v>
                </c:pt>
                <c:pt idx="17">
                  <c:v>5/7/2023</c:v>
                </c:pt>
                <c:pt idx="18">
                  <c:v>05/14/2023</c:v>
                </c:pt>
                <c:pt idx="19">
                  <c:v>05/21/2023</c:v>
                </c:pt>
                <c:pt idx="20">
                  <c:v>05/28/2023</c:v>
                </c:pt>
                <c:pt idx="21">
                  <c:v>6/4/2023</c:v>
                </c:pt>
                <c:pt idx="22">
                  <c:v>6/11/2023</c:v>
                </c:pt>
                <c:pt idx="23">
                  <c:v>06/18/2023</c:v>
                </c:pt>
                <c:pt idx="24">
                  <c:v>06/25/2023</c:v>
                </c:pt>
                <c:pt idx="25">
                  <c:v>7/2/2023</c:v>
                </c:pt>
                <c:pt idx="26">
                  <c:v>7/9/2023</c:v>
                </c:pt>
                <c:pt idx="27">
                  <c:v>07/16/2023</c:v>
                </c:pt>
                <c:pt idx="28">
                  <c:v>07/23/2023</c:v>
                </c:pt>
                <c:pt idx="29">
                  <c:v>07/30/2023</c:v>
                </c:pt>
                <c:pt idx="30">
                  <c:v>8/6/2023</c:v>
                </c:pt>
                <c:pt idx="31">
                  <c:v>08/13/2023</c:v>
                </c:pt>
                <c:pt idx="32">
                  <c:v>08/20/2023</c:v>
                </c:pt>
                <c:pt idx="33">
                  <c:v>08/27/2023</c:v>
                </c:pt>
                <c:pt idx="34">
                  <c:v>9/3/2023</c:v>
                </c:pt>
                <c:pt idx="35">
                  <c:v>9/10/2023</c:v>
                </c:pt>
                <c:pt idx="36">
                  <c:v>09/17/2023</c:v>
                </c:pt>
                <c:pt idx="37">
                  <c:v>09/24/2023</c:v>
                </c:pt>
                <c:pt idx="38">
                  <c:v>10/1/2023</c:v>
                </c:pt>
                <c:pt idx="39">
                  <c:v>10/8/2023</c:v>
                </c:pt>
                <c:pt idx="40">
                  <c:v>10/15/2023</c:v>
                </c:pt>
                <c:pt idx="41">
                  <c:v>10/22/2023</c:v>
                </c:pt>
                <c:pt idx="42">
                  <c:v>10/29/2023</c:v>
                </c:pt>
                <c:pt idx="43">
                  <c:v>11/5/2023</c:v>
                </c:pt>
                <c:pt idx="44">
                  <c:v>11/12/2023</c:v>
                </c:pt>
                <c:pt idx="45">
                  <c:v>11/19/2023</c:v>
                </c:pt>
                <c:pt idx="46">
                  <c:v>11/26/2023</c:v>
                </c:pt>
                <c:pt idx="47">
                  <c:v>12/3/2023</c:v>
                </c:pt>
                <c:pt idx="48">
                  <c:v>12/10/2023</c:v>
                </c:pt>
                <c:pt idx="49">
                  <c:v>12/17/2023</c:v>
                </c:pt>
                <c:pt idx="50">
                  <c:v>12/24/2023</c:v>
                </c:pt>
                <c:pt idx="51">
                  <c:v>12/31/2023</c:v>
                </c:pt>
                <c:pt idx="52">
                  <c:v>1/7/2024</c:v>
                </c:pt>
                <c:pt idx="53">
                  <c:v>01/14/2024</c:v>
                </c:pt>
                <c:pt idx="54">
                  <c:v>01/21/2024</c:v>
                </c:pt>
                <c:pt idx="55">
                  <c:v>01/28/2024</c:v>
                </c:pt>
                <c:pt idx="56">
                  <c:v>2/4/2024</c:v>
                </c:pt>
                <c:pt idx="57">
                  <c:v>2/11/2024</c:v>
                </c:pt>
                <c:pt idx="58">
                  <c:v>02/18/2024</c:v>
                </c:pt>
                <c:pt idx="59">
                  <c:v>02/25/2024</c:v>
                </c:pt>
                <c:pt idx="60">
                  <c:v>3/3/2024</c:v>
                </c:pt>
                <c:pt idx="61">
                  <c:v>3/10/2024</c:v>
                </c:pt>
                <c:pt idx="62">
                  <c:v>03/17/2024</c:v>
                </c:pt>
                <c:pt idx="63">
                  <c:v>03/24/2024</c:v>
                </c:pt>
                <c:pt idx="64">
                  <c:v>03/31/2024</c:v>
                </c:pt>
                <c:pt idx="65">
                  <c:v>4/7/2024</c:v>
                </c:pt>
                <c:pt idx="66">
                  <c:v>04/14/2024</c:v>
                </c:pt>
                <c:pt idx="67">
                  <c:v>04/21/2024</c:v>
                </c:pt>
                <c:pt idx="68">
                  <c:v>04/28/2024</c:v>
                </c:pt>
                <c:pt idx="69">
                  <c:v>5/5/2024</c:v>
                </c:pt>
                <c:pt idx="70">
                  <c:v>5/12/2024</c:v>
                </c:pt>
                <c:pt idx="71">
                  <c:v>05/19/2024</c:v>
                </c:pt>
                <c:pt idx="72">
                  <c:v>05/26/2024</c:v>
                </c:pt>
                <c:pt idx="73">
                  <c:v>6/2/2024</c:v>
                </c:pt>
                <c:pt idx="74">
                  <c:v>6/9/2024</c:v>
                </c:pt>
                <c:pt idx="75">
                  <c:v>06/16/2024</c:v>
                </c:pt>
                <c:pt idx="76">
                  <c:v>06/23/2024</c:v>
                </c:pt>
                <c:pt idx="77">
                  <c:v>06/30/2024</c:v>
                </c:pt>
                <c:pt idx="78">
                  <c:v>7/7/2024</c:v>
                </c:pt>
                <c:pt idx="79">
                  <c:v>07/14/2024</c:v>
                </c:pt>
                <c:pt idx="80">
                  <c:v>07/21/2024</c:v>
                </c:pt>
                <c:pt idx="81">
                  <c:v>07/28/2024</c:v>
                </c:pt>
                <c:pt idx="82">
                  <c:v>8/4/2024</c:v>
                </c:pt>
                <c:pt idx="83">
                  <c:v>8/11/2024</c:v>
                </c:pt>
                <c:pt idx="84">
                  <c:v>08/18/2024</c:v>
                </c:pt>
                <c:pt idx="85">
                  <c:v>08/25/2024</c:v>
                </c:pt>
                <c:pt idx="86">
                  <c:v>9/1/2024</c:v>
                </c:pt>
                <c:pt idx="87">
                  <c:v>9/8/2024</c:v>
                </c:pt>
                <c:pt idx="88">
                  <c:v>09/15/2024</c:v>
                </c:pt>
                <c:pt idx="89">
                  <c:v>09/22/2024</c:v>
                </c:pt>
                <c:pt idx="90">
                  <c:v>09/29/2024</c:v>
                </c:pt>
                <c:pt idx="91">
                  <c:v>10/6/2024</c:v>
                </c:pt>
                <c:pt idx="92">
                  <c:v>10/13/2024</c:v>
                </c:pt>
                <c:pt idx="93">
                  <c:v>10/20/2024</c:v>
                </c:pt>
                <c:pt idx="94">
                  <c:v>10/27/2024</c:v>
                </c:pt>
                <c:pt idx="95">
                  <c:v>11/3/2024</c:v>
                </c:pt>
                <c:pt idx="96">
                  <c:v>11/10/2024</c:v>
                </c:pt>
                <c:pt idx="97">
                  <c:v>11/17/2024</c:v>
                </c:pt>
                <c:pt idx="98">
                  <c:v>11/24/2024</c:v>
                </c:pt>
                <c:pt idx="99">
                  <c:v>12/1/2024</c:v>
                </c:pt>
                <c:pt idx="100">
                  <c:v>12/8/2024</c:v>
                </c:pt>
                <c:pt idx="101">
                  <c:v>12/15/2024</c:v>
                </c:pt>
                <c:pt idx="102">
                  <c:v>12/22/2024</c:v>
                </c:pt>
                <c:pt idx="103">
                  <c:v>12/29/2024</c:v>
                </c:pt>
                <c:pt idx="104">
                  <c:v>1/5/2025</c:v>
                </c:pt>
                <c:pt idx="105">
                  <c:v>1/12/2025</c:v>
                </c:pt>
                <c:pt idx="106">
                  <c:v>01/19/2025</c:v>
                </c:pt>
                <c:pt idx="107">
                  <c:v>01/26/2025</c:v>
                </c:pt>
                <c:pt idx="108">
                  <c:v>2/2/2025</c:v>
                </c:pt>
                <c:pt idx="109">
                  <c:v>2/9/2025</c:v>
                </c:pt>
                <c:pt idx="110">
                  <c:v>02/16/2025</c:v>
                </c:pt>
                <c:pt idx="111">
                  <c:v>02/23/2025</c:v>
                </c:pt>
                <c:pt idx="112">
                  <c:v>3/2/2025</c:v>
                </c:pt>
                <c:pt idx="113">
                  <c:v>3/9/2025</c:v>
                </c:pt>
                <c:pt idx="114">
                  <c:v>03/16/2025</c:v>
                </c:pt>
                <c:pt idx="115">
                  <c:v>03/23/2025</c:v>
                </c:pt>
                <c:pt idx="116">
                  <c:v>03/30/2025</c:v>
                </c:pt>
                <c:pt idx="117">
                  <c:v>4/6/2025</c:v>
                </c:pt>
                <c:pt idx="118">
                  <c:v>04/13/2025</c:v>
                </c:pt>
                <c:pt idx="119">
                  <c:v>04/20/2025</c:v>
                </c:pt>
                <c:pt idx="120">
                  <c:v>04/27/2025</c:v>
                </c:pt>
                <c:pt idx="121">
                  <c:v>5/4/2025</c:v>
                </c:pt>
                <c:pt idx="122">
                  <c:v>5/11/2025</c:v>
                </c:pt>
                <c:pt idx="123">
                  <c:v>05/18/2025</c:v>
                </c:pt>
                <c:pt idx="124">
                  <c:v>05/25/2025</c:v>
                </c:pt>
                <c:pt idx="125">
                  <c:v>6/1/2025</c:v>
                </c:pt>
                <c:pt idx="126">
                  <c:v>6/8/2025</c:v>
                </c:pt>
                <c:pt idx="127">
                  <c:v>06/15/2025</c:v>
                </c:pt>
                <c:pt idx="128">
                  <c:v>06/22/2025</c:v>
                </c:pt>
                <c:pt idx="129">
                  <c:v>06/29/2025</c:v>
                </c:pt>
                <c:pt idx="130">
                  <c:v>7/6/2025</c:v>
                </c:pt>
                <c:pt idx="131">
                  <c:v>07/13/2025</c:v>
                </c:pt>
                <c:pt idx="132">
                  <c:v>07/20/2025</c:v>
                </c:pt>
                <c:pt idx="133">
                  <c:v>07/27/2025</c:v>
                </c:pt>
                <c:pt idx="134">
                  <c:v>8/3/2025</c:v>
                </c:pt>
                <c:pt idx="135">
                  <c:v>8/10/2025</c:v>
                </c:pt>
                <c:pt idx="136">
                  <c:v>08/17/2025</c:v>
                </c:pt>
                <c:pt idx="137">
                  <c:v>08/24/2025</c:v>
                </c:pt>
                <c:pt idx="138">
                  <c:v>08/31/2025</c:v>
                </c:pt>
                <c:pt idx="139">
                  <c:v>9/7/2025</c:v>
                </c:pt>
                <c:pt idx="140">
                  <c:v>09/14/2025</c:v>
                </c:pt>
                <c:pt idx="141">
                  <c:v>09/21/2025</c:v>
                </c:pt>
                <c:pt idx="142">
                  <c:v>09/28/2025</c:v>
                </c:pt>
                <c:pt idx="143">
                  <c:v>10/5/2025</c:v>
                </c:pt>
                <c:pt idx="144">
                  <c:v>10/12/2025</c:v>
                </c:pt>
                <c:pt idx="145">
                  <c:v>10/19/2025</c:v>
                </c:pt>
                <c:pt idx="146">
                  <c:v>10/26/2025</c:v>
                </c:pt>
                <c:pt idx="147">
                  <c:v>11/2/2025</c:v>
                </c:pt>
                <c:pt idx="148">
                  <c:v>11/9/2025</c:v>
                </c:pt>
              </c:strCache>
            </c:strRef>
          </c:cat>
          <c:val>
            <c:numRef>
              <c:f>'Malayan Banking Stock Price His'!$B$2:$B$150</c:f>
              <c:numCache>
                <c:formatCode>General</c:formatCode>
                <c:ptCount val="149"/>
                <c:pt idx="0">
                  <c:v>8.86</c:v>
                </c:pt>
                <c:pt idx="1">
                  <c:v>8.8000000000000007</c:v>
                </c:pt>
                <c:pt idx="2">
                  <c:v>8.74</c:v>
                </c:pt>
                <c:pt idx="3">
                  <c:v>8.7100000000000009</c:v>
                </c:pt>
                <c:pt idx="4">
                  <c:v>8.75</c:v>
                </c:pt>
                <c:pt idx="5">
                  <c:v>8.75</c:v>
                </c:pt>
                <c:pt idx="6">
                  <c:v>8.74</c:v>
                </c:pt>
                <c:pt idx="7">
                  <c:v>8.7100000000000009</c:v>
                </c:pt>
                <c:pt idx="8">
                  <c:v>8.6999999999999993</c:v>
                </c:pt>
                <c:pt idx="9">
                  <c:v>8.3800000000000008</c:v>
                </c:pt>
                <c:pt idx="10">
                  <c:v>8.43</c:v>
                </c:pt>
                <c:pt idx="11">
                  <c:v>8.57</c:v>
                </c:pt>
                <c:pt idx="12">
                  <c:v>8.66</c:v>
                </c:pt>
                <c:pt idx="13">
                  <c:v>8.7100000000000009</c:v>
                </c:pt>
                <c:pt idx="14">
                  <c:v>8.6999999999999993</c:v>
                </c:pt>
                <c:pt idx="15">
                  <c:v>8.66</c:v>
                </c:pt>
                <c:pt idx="16">
                  <c:v>8.75</c:v>
                </c:pt>
                <c:pt idx="17">
                  <c:v>8.69</c:v>
                </c:pt>
                <c:pt idx="18">
                  <c:v>8.7799999999999994</c:v>
                </c:pt>
                <c:pt idx="19">
                  <c:v>8.58</c:v>
                </c:pt>
                <c:pt idx="20">
                  <c:v>8.58</c:v>
                </c:pt>
                <c:pt idx="21">
                  <c:v>8.6199999999999992</c:v>
                </c:pt>
                <c:pt idx="22">
                  <c:v>8.57</c:v>
                </c:pt>
                <c:pt idx="23">
                  <c:v>8.74</c:v>
                </c:pt>
                <c:pt idx="24">
                  <c:v>8.6300000000000008</c:v>
                </c:pt>
                <c:pt idx="25">
                  <c:v>8.67</c:v>
                </c:pt>
                <c:pt idx="26">
                  <c:v>8.8000000000000007</c:v>
                </c:pt>
                <c:pt idx="27">
                  <c:v>8.7799999999999994</c:v>
                </c:pt>
                <c:pt idx="28">
                  <c:v>8.99</c:v>
                </c:pt>
                <c:pt idx="29">
                  <c:v>8.91</c:v>
                </c:pt>
                <c:pt idx="30">
                  <c:v>9.02</c:v>
                </c:pt>
                <c:pt idx="31">
                  <c:v>9</c:v>
                </c:pt>
                <c:pt idx="32">
                  <c:v>9.02</c:v>
                </c:pt>
                <c:pt idx="33">
                  <c:v>9.15</c:v>
                </c:pt>
                <c:pt idx="34">
                  <c:v>9.14</c:v>
                </c:pt>
                <c:pt idx="35">
                  <c:v>8.91</c:v>
                </c:pt>
                <c:pt idx="36">
                  <c:v>8.8800000000000008</c:v>
                </c:pt>
                <c:pt idx="37">
                  <c:v>8.7899999999999991</c:v>
                </c:pt>
                <c:pt idx="38">
                  <c:v>8.77</c:v>
                </c:pt>
                <c:pt idx="39">
                  <c:v>8.98</c:v>
                </c:pt>
                <c:pt idx="40">
                  <c:v>8.99</c:v>
                </c:pt>
                <c:pt idx="41">
                  <c:v>9</c:v>
                </c:pt>
                <c:pt idx="42">
                  <c:v>9.0399999999999991</c:v>
                </c:pt>
                <c:pt idx="43">
                  <c:v>9.08</c:v>
                </c:pt>
                <c:pt idx="44">
                  <c:v>9.1199999999999992</c:v>
                </c:pt>
                <c:pt idx="45">
                  <c:v>9.09</c:v>
                </c:pt>
                <c:pt idx="46">
                  <c:v>9</c:v>
                </c:pt>
                <c:pt idx="47">
                  <c:v>9.0399999999999991</c:v>
                </c:pt>
                <c:pt idx="48">
                  <c:v>9</c:v>
                </c:pt>
                <c:pt idx="49">
                  <c:v>8.89</c:v>
                </c:pt>
                <c:pt idx="50">
                  <c:v>8.89</c:v>
                </c:pt>
                <c:pt idx="51">
                  <c:v>9.06</c:v>
                </c:pt>
                <c:pt idx="52">
                  <c:v>9.06</c:v>
                </c:pt>
                <c:pt idx="53">
                  <c:v>9.0299999999999994</c:v>
                </c:pt>
                <c:pt idx="54">
                  <c:v>9.14</c:v>
                </c:pt>
                <c:pt idx="55">
                  <c:v>9.34</c:v>
                </c:pt>
                <c:pt idx="56">
                  <c:v>9.26</c:v>
                </c:pt>
                <c:pt idx="57">
                  <c:v>9.43</c:v>
                </c:pt>
                <c:pt idx="58">
                  <c:v>9.5299999999999994</c:v>
                </c:pt>
                <c:pt idx="59">
                  <c:v>9.4499999999999993</c:v>
                </c:pt>
                <c:pt idx="60">
                  <c:v>9.75</c:v>
                </c:pt>
                <c:pt idx="61">
                  <c:v>9.7100000000000009</c:v>
                </c:pt>
                <c:pt idx="62">
                  <c:v>9.59</c:v>
                </c:pt>
                <c:pt idx="63">
                  <c:v>9.69</c:v>
                </c:pt>
                <c:pt idx="64">
                  <c:v>9.64</c:v>
                </c:pt>
                <c:pt idx="65">
                  <c:v>9.65</c:v>
                </c:pt>
                <c:pt idx="66">
                  <c:v>9.65</c:v>
                </c:pt>
                <c:pt idx="67">
                  <c:v>9.7899999999999991</c:v>
                </c:pt>
                <c:pt idx="68">
                  <c:v>9.8000000000000007</c:v>
                </c:pt>
                <c:pt idx="69">
                  <c:v>9.8699999999999992</c:v>
                </c:pt>
                <c:pt idx="70">
                  <c:v>9.92</c:v>
                </c:pt>
                <c:pt idx="71">
                  <c:v>9.98</c:v>
                </c:pt>
                <c:pt idx="72">
                  <c:v>9.93</c:v>
                </c:pt>
                <c:pt idx="73">
                  <c:v>10</c:v>
                </c:pt>
                <c:pt idx="74">
                  <c:v>9.94</c:v>
                </c:pt>
                <c:pt idx="75">
                  <c:v>9.86</c:v>
                </c:pt>
                <c:pt idx="76">
                  <c:v>9.9600000000000009</c:v>
                </c:pt>
                <c:pt idx="77">
                  <c:v>10.039999999999999</c:v>
                </c:pt>
                <c:pt idx="78">
                  <c:v>10.039999999999999</c:v>
                </c:pt>
                <c:pt idx="79">
                  <c:v>10.1</c:v>
                </c:pt>
                <c:pt idx="80">
                  <c:v>10.14</c:v>
                </c:pt>
                <c:pt idx="81">
                  <c:v>10.24</c:v>
                </c:pt>
                <c:pt idx="82">
                  <c:v>10.16</c:v>
                </c:pt>
                <c:pt idx="83">
                  <c:v>10.26</c:v>
                </c:pt>
                <c:pt idx="84">
                  <c:v>10.44</c:v>
                </c:pt>
                <c:pt idx="85">
                  <c:v>10.78</c:v>
                </c:pt>
                <c:pt idx="86">
                  <c:v>10.8</c:v>
                </c:pt>
                <c:pt idx="87">
                  <c:v>10.64</c:v>
                </c:pt>
                <c:pt idx="88">
                  <c:v>10.6</c:v>
                </c:pt>
                <c:pt idx="89">
                  <c:v>10.5</c:v>
                </c:pt>
                <c:pt idx="90">
                  <c:v>10.5</c:v>
                </c:pt>
                <c:pt idx="91">
                  <c:v>10.56</c:v>
                </c:pt>
                <c:pt idx="92">
                  <c:v>10.66</c:v>
                </c:pt>
                <c:pt idx="93">
                  <c:v>10.54</c:v>
                </c:pt>
                <c:pt idx="94">
                  <c:v>10.4</c:v>
                </c:pt>
                <c:pt idx="95">
                  <c:v>10.5</c:v>
                </c:pt>
                <c:pt idx="96">
                  <c:v>10.36</c:v>
                </c:pt>
                <c:pt idx="97">
                  <c:v>10.199999999999999</c:v>
                </c:pt>
                <c:pt idx="98">
                  <c:v>10.199999999999999</c:v>
                </c:pt>
                <c:pt idx="99">
                  <c:v>10.16</c:v>
                </c:pt>
                <c:pt idx="100">
                  <c:v>10.14</c:v>
                </c:pt>
                <c:pt idx="101">
                  <c:v>9.9600000000000009</c:v>
                </c:pt>
                <c:pt idx="102">
                  <c:v>10.1</c:v>
                </c:pt>
                <c:pt idx="103">
                  <c:v>10.14</c:v>
                </c:pt>
                <c:pt idx="104">
                  <c:v>10.1</c:v>
                </c:pt>
                <c:pt idx="105">
                  <c:v>10.14</c:v>
                </c:pt>
                <c:pt idx="106">
                  <c:v>10.4</c:v>
                </c:pt>
                <c:pt idx="107">
                  <c:v>10.34</c:v>
                </c:pt>
                <c:pt idx="108">
                  <c:v>10.42</c:v>
                </c:pt>
                <c:pt idx="109">
                  <c:v>10.56</c:v>
                </c:pt>
                <c:pt idx="110">
                  <c:v>10.5</c:v>
                </c:pt>
                <c:pt idx="111">
                  <c:v>10.72</c:v>
                </c:pt>
                <c:pt idx="112">
                  <c:v>10.64</c:v>
                </c:pt>
                <c:pt idx="113">
                  <c:v>10.32</c:v>
                </c:pt>
                <c:pt idx="114">
                  <c:v>10.18</c:v>
                </c:pt>
                <c:pt idx="115">
                  <c:v>10.119999999999999</c:v>
                </c:pt>
                <c:pt idx="116">
                  <c:v>10.24</c:v>
                </c:pt>
                <c:pt idx="117">
                  <c:v>9.82</c:v>
                </c:pt>
                <c:pt idx="118">
                  <c:v>10.02</c:v>
                </c:pt>
                <c:pt idx="119">
                  <c:v>9.8699999999999992</c:v>
                </c:pt>
                <c:pt idx="120">
                  <c:v>9.99</c:v>
                </c:pt>
                <c:pt idx="121">
                  <c:v>9.89</c:v>
                </c:pt>
                <c:pt idx="122">
                  <c:v>10.14</c:v>
                </c:pt>
                <c:pt idx="123">
                  <c:v>9.8800000000000008</c:v>
                </c:pt>
                <c:pt idx="124">
                  <c:v>9.7799999999999994</c:v>
                </c:pt>
                <c:pt idx="125">
                  <c:v>9.6999999999999993</c:v>
                </c:pt>
                <c:pt idx="126">
                  <c:v>9.6999999999999993</c:v>
                </c:pt>
                <c:pt idx="127">
                  <c:v>9.66</c:v>
                </c:pt>
                <c:pt idx="128">
                  <c:v>9.81</c:v>
                </c:pt>
                <c:pt idx="129">
                  <c:v>9.74</c:v>
                </c:pt>
                <c:pt idx="130">
                  <c:v>9.69</c:v>
                </c:pt>
                <c:pt idx="131">
                  <c:v>9.52</c:v>
                </c:pt>
                <c:pt idx="132">
                  <c:v>9.5399999999999991</c:v>
                </c:pt>
                <c:pt idx="133">
                  <c:v>9.6</c:v>
                </c:pt>
                <c:pt idx="134">
                  <c:v>9.61</c:v>
                </c:pt>
                <c:pt idx="135">
                  <c:v>9.8000000000000007</c:v>
                </c:pt>
                <c:pt idx="136">
                  <c:v>9.8000000000000007</c:v>
                </c:pt>
                <c:pt idx="137">
                  <c:v>9.9</c:v>
                </c:pt>
                <c:pt idx="138">
                  <c:v>9.99</c:v>
                </c:pt>
                <c:pt idx="139">
                  <c:v>9.8699999999999992</c:v>
                </c:pt>
                <c:pt idx="140">
                  <c:v>9.8000000000000007</c:v>
                </c:pt>
                <c:pt idx="141">
                  <c:v>9.89</c:v>
                </c:pt>
                <c:pt idx="142">
                  <c:v>10</c:v>
                </c:pt>
                <c:pt idx="143">
                  <c:v>9.9499999999999993</c:v>
                </c:pt>
                <c:pt idx="144">
                  <c:v>9.89</c:v>
                </c:pt>
                <c:pt idx="145">
                  <c:v>9.9</c:v>
                </c:pt>
                <c:pt idx="146">
                  <c:v>9.8699999999999992</c:v>
                </c:pt>
                <c:pt idx="147">
                  <c:v>9.91</c:v>
                </c:pt>
                <c:pt idx="14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9-4460-A0A2-2CC3ADC2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654544"/>
        <c:axId val="222643504"/>
      </c:lineChart>
      <c:catAx>
        <c:axId val="22265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43504"/>
        <c:crosses val="autoZero"/>
        <c:auto val="1"/>
        <c:lblAlgn val="ctr"/>
        <c:lblOffset val="100"/>
        <c:noMultiLvlLbl val="0"/>
      </c:catAx>
      <c:valAx>
        <c:axId val="222643504"/>
        <c:scaling>
          <c:orientation val="minMax"/>
          <c:max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54544"/>
        <c:crosses val="autoZero"/>
        <c:crossBetween val="between"/>
        <c:majorUnit val="1"/>
      </c:valAx>
      <c:valAx>
        <c:axId val="230065904"/>
        <c:scaling>
          <c:orientation val="minMax"/>
          <c:max val="14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1104"/>
        <c:crosses val="max"/>
        <c:crossBetween val="between"/>
      </c:valAx>
      <c:catAx>
        <c:axId val="230061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0065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Volatilty, Annualised Volatility &amp; Market Drift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Volatility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'In-Sample'!$G$54:$G$141</c:f>
              <c:numCache>
                <c:formatCode>General</c:formatCode>
                <c:ptCount val="88"/>
                <c:pt idx="0">
                  <c:v>1.1464061286618994E-2</c:v>
                </c:pt>
                <c:pt idx="1">
                  <c:v>1.1431182876598566E-2</c:v>
                </c:pt>
                <c:pt idx="2">
                  <c:v>1.1494548442687838E-2</c:v>
                </c:pt>
                <c:pt idx="3">
                  <c:v>1.1831996616081197E-2</c:v>
                </c:pt>
                <c:pt idx="4">
                  <c:v>1.1902278897757768E-2</c:v>
                </c:pt>
                <c:pt idx="5">
                  <c:v>1.2134721410022394E-2</c:v>
                </c:pt>
                <c:pt idx="6">
                  <c:v>1.2194104206882354E-2</c:v>
                </c:pt>
                <c:pt idx="7">
                  <c:v>1.2254555800639144E-2</c:v>
                </c:pt>
                <c:pt idx="8">
                  <c:v>1.291941414639051E-2</c:v>
                </c:pt>
                <c:pt idx="9">
                  <c:v>1.167985234657116E-2</c:v>
                </c:pt>
                <c:pt idx="10">
                  <c:v>1.186052666950042E-2</c:v>
                </c:pt>
                <c:pt idx="11">
                  <c:v>1.1749104510810193E-2</c:v>
                </c:pt>
                <c:pt idx="12">
                  <c:v>1.1738020732619748E-2</c:v>
                </c:pt>
                <c:pt idx="13">
                  <c:v>1.1727129165955145E-2</c:v>
                </c:pt>
                <c:pt idx="14">
                  <c:v>1.1722218111214612E-2</c:v>
                </c:pt>
                <c:pt idx="15">
                  <c:v>1.1808458621736221E-2</c:v>
                </c:pt>
                <c:pt idx="16">
                  <c:v>1.1755563956992251E-2</c:v>
                </c:pt>
                <c:pt idx="17">
                  <c:v>1.1704186665192486E-2</c:v>
                </c:pt>
                <c:pt idx="18">
                  <c:v>1.1657650327596473E-2</c:v>
                </c:pt>
                <c:pt idx="19">
                  <c:v>1.1099894106788492E-2</c:v>
                </c:pt>
                <c:pt idx="20">
                  <c:v>1.1147434611140599E-2</c:v>
                </c:pt>
                <c:pt idx="21">
                  <c:v>1.1159972552463782E-2</c:v>
                </c:pt>
                <c:pt idx="22">
                  <c:v>1.1163065511382186E-2</c:v>
                </c:pt>
                <c:pt idx="23">
                  <c:v>1.1006359991344514E-2</c:v>
                </c:pt>
                <c:pt idx="24">
                  <c:v>1.0850184157622742E-2</c:v>
                </c:pt>
                <c:pt idx="25">
                  <c:v>1.0871656783363231E-2</c:v>
                </c:pt>
                <c:pt idx="26">
                  <c:v>1.0743038373483157E-2</c:v>
                </c:pt>
                <c:pt idx="27">
                  <c:v>1.0731419023127379E-2</c:v>
                </c:pt>
                <c:pt idx="28">
                  <c:v>1.0317371848645736E-2</c:v>
                </c:pt>
                <c:pt idx="29">
                  <c:v>1.024377666827697E-2</c:v>
                </c:pt>
                <c:pt idx="30">
                  <c:v>1.025411512926986E-2</c:v>
                </c:pt>
                <c:pt idx="31">
                  <c:v>1.0285839770327567E-2</c:v>
                </c:pt>
                <c:pt idx="32">
                  <c:v>1.0490315056150347E-2</c:v>
                </c:pt>
                <c:pt idx="33">
                  <c:v>1.1139838918412508E-2</c:v>
                </c:pt>
                <c:pt idx="34">
                  <c:v>1.1125300013098267E-2</c:v>
                </c:pt>
                <c:pt idx="35">
                  <c:v>1.0678629628454761E-2</c:v>
                </c:pt>
                <c:pt idx="36">
                  <c:v>1.0683674272707774E-2</c:v>
                </c:pt>
                <c:pt idx="37">
                  <c:v>1.0666448089363923E-2</c:v>
                </c:pt>
                <c:pt idx="38">
                  <c:v>1.0647255291687708E-2</c:v>
                </c:pt>
                <c:pt idx="39">
                  <c:v>1.0263476090361365E-2</c:v>
                </c:pt>
                <c:pt idx="40">
                  <c:v>1.0296332101479056E-2</c:v>
                </c:pt>
                <c:pt idx="41">
                  <c:v>1.0490112487030023E-2</c:v>
                </c:pt>
                <c:pt idx="42">
                  <c:v>1.0731464872843592E-2</c:v>
                </c:pt>
                <c:pt idx="43">
                  <c:v>1.0771393329398464E-2</c:v>
                </c:pt>
                <c:pt idx="44">
                  <c:v>1.1000444135921907E-2</c:v>
                </c:pt>
                <c:pt idx="45">
                  <c:v>1.1254769045432914E-2</c:v>
                </c:pt>
                <c:pt idx="46">
                  <c:v>1.1127739153069695E-2</c:v>
                </c:pt>
                <c:pt idx="47">
                  <c:v>1.1158261890798405E-2</c:v>
                </c:pt>
                <c:pt idx="48">
                  <c:v>1.1134540670698245E-2</c:v>
                </c:pt>
                <c:pt idx="49">
                  <c:v>1.1304686598956847E-2</c:v>
                </c:pt>
                <c:pt idx="50">
                  <c:v>1.1416935765797062E-2</c:v>
                </c:pt>
                <c:pt idx="51">
                  <c:v>1.1179231568866318E-2</c:v>
                </c:pt>
                <c:pt idx="52">
                  <c:v>1.1207647164819746E-2</c:v>
                </c:pt>
                <c:pt idx="53">
                  <c:v>1.1184200102201622E-2</c:v>
                </c:pt>
                <c:pt idx="54">
                  <c:v>1.155679174331606E-2</c:v>
                </c:pt>
                <c:pt idx="55">
                  <c:v>1.128789988565381E-2</c:v>
                </c:pt>
                <c:pt idx="56">
                  <c:v>1.1215128808078621E-2</c:v>
                </c:pt>
                <c:pt idx="57">
                  <c:v>1.1099771771615554E-2</c:v>
                </c:pt>
                <c:pt idx="58">
                  <c:v>1.1088141286760431E-2</c:v>
                </c:pt>
                <c:pt idx="59">
                  <c:v>1.1292989214365506E-2</c:v>
                </c:pt>
                <c:pt idx="60">
                  <c:v>1.0611253480933943E-2</c:v>
                </c:pt>
                <c:pt idx="61">
                  <c:v>1.1490387446523163E-2</c:v>
                </c:pt>
                <c:pt idx="62">
                  <c:v>1.1520007818946963E-2</c:v>
                </c:pt>
                <c:pt idx="63">
                  <c:v>1.148559931640211E-2</c:v>
                </c:pt>
                <c:pt idx="64">
                  <c:v>1.1552271684861552E-2</c:v>
                </c:pt>
                <c:pt idx="65">
                  <c:v>1.3003281703226559E-2</c:v>
                </c:pt>
                <c:pt idx="66">
                  <c:v>1.3290493300123175E-2</c:v>
                </c:pt>
                <c:pt idx="67">
                  <c:v>1.3324377199001347E-2</c:v>
                </c:pt>
                <c:pt idx="68">
                  <c:v>1.3426394768895943E-2</c:v>
                </c:pt>
                <c:pt idx="69">
                  <c:v>1.3468363952568743E-2</c:v>
                </c:pt>
                <c:pt idx="70">
                  <c:v>1.3890132347722848E-2</c:v>
                </c:pt>
                <c:pt idx="71">
                  <c:v>1.4338615135349793E-2</c:v>
                </c:pt>
                <c:pt idx="72">
                  <c:v>1.4390321435832553E-2</c:v>
                </c:pt>
                <c:pt idx="73">
                  <c:v>1.4393544743730067E-2</c:v>
                </c:pt>
                <c:pt idx="74">
                  <c:v>1.4373189356048971E-2</c:v>
                </c:pt>
                <c:pt idx="75">
                  <c:v>1.434259010244333E-2</c:v>
                </c:pt>
                <c:pt idx="76">
                  <c:v>1.4437458988478325E-2</c:v>
                </c:pt>
                <c:pt idx="77">
                  <c:v>1.4419800928472339E-2</c:v>
                </c:pt>
                <c:pt idx="78">
                  <c:v>1.4433374750928886E-2</c:v>
                </c:pt>
                <c:pt idx="79">
                  <c:v>1.4591940750955421E-2</c:v>
                </c:pt>
                <c:pt idx="80">
                  <c:v>1.4581521866453239E-2</c:v>
                </c:pt>
                <c:pt idx="81">
                  <c:v>1.4537379189730137E-2</c:v>
                </c:pt>
                <c:pt idx="82">
                  <c:v>1.4510448400482335E-2</c:v>
                </c:pt>
                <c:pt idx="83">
                  <c:v>1.4716060841588503E-2</c:v>
                </c:pt>
                <c:pt idx="84">
                  <c:v>1.44884754285837E-2</c:v>
                </c:pt>
                <c:pt idx="85">
                  <c:v>1.3804811772922277E-2</c:v>
                </c:pt>
                <c:pt idx="86">
                  <c:v>1.3876381460435018E-2</c:v>
                </c:pt>
                <c:pt idx="87">
                  <c:v>1.3827991854618553E-2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C-448A-A6FB-D79A0485E5E5}"/>
            </c:ext>
          </c:extLst>
        </c:ser>
        <c:ser>
          <c:idx val="1"/>
          <c:order val="1"/>
          <c:tx>
            <c:strRef>
              <c:f>{"Annualised Volatility"}</c:f>
              <c:strCache>
                <c:ptCount val="1"/>
                <c:pt idx="0">
                  <c:v>Annualised Volatility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'In-Sample'!$H$54:$H$141</c:f>
              <c:numCache>
                <c:formatCode>General</c:formatCode>
                <c:ptCount val="88"/>
                <c:pt idx="0">
                  <c:v>1.5897792613064022E-3</c:v>
                </c:pt>
                <c:pt idx="1">
                  <c:v>1.585219846183926E-3</c:v>
                </c:pt>
                <c:pt idx="2">
                  <c:v>1.5940070691698365E-3</c:v>
                </c:pt>
                <c:pt idx="3">
                  <c:v>1.6408027111691219E-3</c:v>
                </c:pt>
                <c:pt idx="4">
                  <c:v>1.6505491100284094E-3</c:v>
                </c:pt>
                <c:pt idx="5">
                  <c:v>1.6827830868194778E-3</c:v>
                </c:pt>
                <c:pt idx="6">
                  <c:v>1.6910179990871335E-3</c:v>
                </c:pt>
                <c:pt idx="7">
                  <c:v>1.6994011268168883E-3</c:v>
                </c:pt>
                <c:pt idx="8">
                  <c:v>1.7916003905294542E-3</c:v>
                </c:pt>
                <c:pt idx="9">
                  <c:v>1.6197040971311814E-3</c:v>
                </c:pt>
                <c:pt idx="10">
                  <c:v>1.6447591177266116E-3</c:v>
                </c:pt>
                <c:pt idx="11">
                  <c:v>1.6293076444042847E-3</c:v>
                </c:pt>
                <c:pt idx="12">
                  <c:v>1.6277706009199956E-3</c:v>
                </c:pt>
                <c:pt idx="13">
                  <c:v>1.6262602123784816E-3</c:v>
                </c:pt>
                <c:pt idx="14">
                  <c:v>1.62557917162142E-3</c:v>
                </c:pt>
                <c:pt idx="15">
                  <c:v>1.6375385786486451E-3</c:v>
                </c:pt>
                <c:pt idx="16">
                  <c:v>1.6302034084204583E-3</c:v>
                </c:pt>
                <c:pt idx="17">
                  <c:v>1.6230786599597457E-3</c:v>
                </c:pt>
                <c:pt idx="18">
                  <c:v>1.6166252310607177E-3</c:v>
                </c:pt>
                <c:pt idx="19">
                  <c:v>1.5392783597787103E-3</c:v>
                </c:pt>
                <c:pt idx="20">
                  <c:v>1.5458710415519005E-3</c:v>
                </c:pt>
                <c:pt idx="21">
                  <c:v>1.5476097411799578E-3</c:v>
                </c:pt>
                <c:pt idx="22">
                  <c:v>1.5480386574096966E-3</c:v>
                </c:pt>
                <c:pt idx="23">
                  <c:v>1.5263075117310783E-3</c:v>
                </c:pt>
                <c:pt idx="24">
                  <c:v>1.5046498203283019E-3</c:v>
                </c:pt>
                <c:pt idx="25">
                  <c:v>1.5076275377562318E-3</c:v>
                </c:pt>
                <c:pt idx="26">
                  <c:v>1.4897913734565685E-3</c:v>
                </c:pt>
                <c:pt idx="27">
                  <c:v>1.4881800594759786E-3</c:v>
                </c:pt>
                <c:pt idx="28">
                  <c:v>1.4307620472431113E-3</c:v>
                </c:pt>
                <c:pt idx="29">
                  <c:v>1.4205562319951647E-3</c:v>
                </c:pt>
                <c:pt idx="30">
                  <c:v>1.4219899185805205E-3</c:v>
                </c:pt>
                <c:pt idx="31">
                  <c:v>1.4263893347354918E-3</c:v>
                </c:pt>
                <c:pt idx="32">
                  <c:v>1.4547449550277682E-3</c:v>
                </c:pt>
                <c:pt idx="33">
                  <c:v>1.5448177084902157E-3</c:v>
                </c:pt>
                <c:pt idx="34">
                  <c:v>1.5428015250825383E-3</c:v>
                </c:pt>
                <c:pt idx="35">
                  <c:v>1.4808594875801004E-3</c:v>
                </c:pt>
                <c:pt idx="36">
                  <c:v>1.4815590538693585E-3</c:v>
                </c:pt>
                <c:pt idx="37">
                  <c:v>1.4791702120490972E-3</c:v>
                </c:pt>
                <c:pt idx="38">
                  <c:v>1.4765086498898202E-3</c:v>
                </c:pt>
                <c:pt idx="39">
                  <c:v>1.4232880503190991E-3</c:v>
                </c:pt>
                <c:pt idx="40">
                  <c:v>1.4278443592726396E-3</c:v>
                </c:pt>
                <c:pt idx="41">
                  <c:v>1.45471686374507E-3</c:v>
                </c:pt>
                <c:pt idx="42">
                  <c:v>1.4881864176876235E-3</c:v>
                </c:pt>
                <c:pt idx="43">
                  <c:v>1.4937234983591131E-3</c:v>
                </c:pt>
                <c:pt idx="44">
                  <c:v>1.5254871301901383E-3</c:v>
                </c:pt>
                <c:pt idx="45">
                  <c:v>1.5607556494928181E-3</c:v>
                </c:pt>
                <c:pt idx="46">
                  <c:v>1.5431397729377312E-3</c:v>
                </c:pt>
                <c:pt idx="47">
                  <c:v>1.5473725150895929E-3</c:v>
                </c:pt>
                <c:pt idx="48">
                  <c:v>1.5440829737285277E-3</c:v>
                </c:pt>
                <c:pt idx="49">
                  <c:v>1.5676779686765205E-3</c:v>
                </c:pt>
                <c:pt idx="50">
                  <c:v>1.5832441273946169E-3</c:v>
                </c:pt>
                <c:pt idx="51">
                  <c:v>1.5502804862243557E-3</c:v>
                </c:pt>
                <c:pt idx="52">
                  <c:v>1.5542210203871615E-3</c:v>
                </c:pt>
                <c:pt idx="53">
                  <c:v>1.550969497828367E-3</c:v>
                </c:pt>
                <c:pt idx="54">
                  <c:v>1.6026386619378817E-3</c:v>
                </c:pt>
                <c:pt idx="55">
                  <c:v>1.5653500703857275E-3</c:v>
                </c:pt>
                <c:pt idx="56">
                  <c:v>1.5552585376331079E-3</c:v>
                </c:pt>
                <c:pt idx="57">
                  <c:v>1.5392613949426017E-3</c:v>
                </c:pt>
                <c:pt idx="58">
                  <c:v>1.537648536884769E-3</c:v>
                </c:pt>
                <c:pt idx="59">
                  <c:v>1.5660558332944857E-3</c:v>
                </c:pt>
                <c:pt idx="60">
                  <c:v>1.471516097017426E-3</c:v>
                </c:pt>
                <c:pt idx="61">
                  <c:v>1.5934300428225771E-3</c:v>
                </c:pt>
                <c:pt idx="62">
                  <c:v>1.5975376494215135E-3</c:v>
                </c:pt>
                <c:pt idx="63">
                  <c:v>1.592766048643152E-3</c:v>
                </c:pt>
                <c:pt idx="64">
                  <c:v>1.6020118426099655E-3</c:v>
                </c:pt>
                <c:pt idx="65">
                  <c:v>1.803230728087926E-3</c:v>
                </c:pt>
                <c:pt idx="66">
                  <c:v>1.8430598103771046E-3</c:v>
                </c:pt>
                <c:pt idx="67">
                  <c:v>1.847758661716254E-3</c:v>
                </c:pt>
                <c:pt idx="68">
                  <c:v>1.8619059532259924E-3</c:v>
                </c:pt>
                <c:pt idx="69">
                  <c:v>1.8677260318306712E-3</c:v>
                </c:pt>
                <c:pt idx="70">
                  <c:v>1.9262147847190667E-3</c:v>
                </c:pt>
                <c:pt idx="71">
                  <c:v>1.9884081572941427E-3</c:v>
                </c:pt>
                <c:pt idx="72">
                  <c:v>1.9955785310501097E-3</c:v>
                </c:pt>
                <c:pt idx="73">
                  <c:v>1.9960255234309208E-3</c:v>
                </c:pt>
                <c:pt idx="74">
                  <c:v>1.9932027390456848E-3</c:v>
                </c:pt>
                <c:pt idx="75">
                  <c:v>1.988959386050836E-3</c:v>
                </c:pt>
                <c:pt idx="76">
                  <c:v>2.0021153334756564E-3</c:v>
                </c:pt>
                <c:pt idx="77">
                  <c:v>1.999666601138087E-3</c:v>
                </c:pt>
                <c:pt idx="78">
                  <c:v>2.0015489516331301E-3</c:v>
                </c:pt>
                <c:pt idx="79">
                  <c:v>2.0235380994654724E-3</c:v>
                </c:pt>
                <c:pt idx="80">
                  <c:v>2.0220932601460202E-3</c:v>
                </c:pt>
                <c:pt idx="81">
                  <c:v>2.0159717722859675E-3</c:v>
                </c:pt>
                <c:pt idx="82">
                  <c:v>2.0122371437659033E-3</c:v>
                </c:pt>
                <c:pt idx="83">
                  <c:v>2.0407504591228886E-3</c:v>
                </c:pt>
                <c:pt idx="84">
                  <c:v>2.0091900408099475E-3</c:v>
                </c:pt>
                <c:pt idx="85">
                  <c:v>1.914382949823085E-3</c:v>
                </c:pt>
                <c:pt idx="86">
                  <c:v>1.9243078797498592E-3</c:v>
                </c:pt>
                <c:pt idx="87">
                  <c:v>1.9175974487894453E-3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C-448A-A6FB-D79A0485E5E5}"/>
            </c:ext>
          </c:extLst>
        </c:ser>
        <c:ser>
          <c:idx val="2"/>
          <c:order val="2"/>
          <c:tx>
            <c:strRef>
              <c:f>{"Market Drift"}</c:f>
              <c:strCache>
                <c:ptCount val="1"/>
                <c:pt idx="0">
                  <c:v>Market Drift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'In-Sample'!$I$54:$I$141</c:f>
              <c:numCache>
                <c:formatCode>General</c:formatCode>
                <c:ptCount val="88"/>
                <c:pt idx="0">
                  <c:v>4.2801236706358544E-4</c:v>
                </c:pt>
                <c:pt idx="1">
                  <c:v>4.9490980718757034E-4</c:v>
                </c:pt>
                <c:pt idx="2">
                  <c:v>8.5931025916660643E-4</c:v>
                </c:pt>
                <c:pt idx="3">
                  <c:v>1.3416242943149578E-3</c:v>
                </c:pt>
                <c:pt idx="4">
                  <c:v>1.0880676185977798E-3</c:v>
                </c:pt>
                <c:pt idx="5">
                  <c:v>1.4378609719998686E-3</c:v>
                </c:pt>
                <c:pt idx="6">
                  <c:v>1.6626957674992678E-3</c:v>
                </c:pt>
                <c:pt idx="7">
                  <c:v>1.5666896840827655E-3</c:v>
                </c:pt>
                <c:pt idx="8">
                  <c:v>2.1896308407360473E-3</c:v>
                </c:pt>
                <c:pt idx="9">
                  <c:v>2.8315415064196635E-3</c:v>
                </c:pt>
                <c:pt idx="10">
                  <c:v>2.4779573237527566E-3</c:v>
                </c:pt>
                <c:pt idx="11">
                  <c:v>2.3607244723958254E-3</c:v>
                </c:pt>
                <c:pt idx="12">
                  <c:v>2.060336451591351E-3</c:v>
                </c:pt>
                <c:pt idx="13">
                  <c:v>1.9695646482162507E-3</c:v>
                </c:pt>
                <c:pt idx="14">
                  <c:v>1.9916573940698592E-3</c:v>
                </c:pt>
                <c:pt idx="15">
                  <c:v>2.3572502715493051E-3</c:v>
                </c:pt>
                <c:pt idx="16">
                  <c:v>2.1780690127890211E-3</c:v>
                </c:pt>
                <c:pt idx="17">
                  <c:v>2.4472773110642671E-3</c:v>
                </c:pt>
                <c:pt idx="18">
                  <c:v>2.3463185239264443E-3</c:v>
                </c:pt>
                <c:pt idx="19">
                  <c:v>2.9055302499790357E-3</c:v>
                </c:pt>
                <c:pt idx="20">
                  <c:v>2.8089313828462414E-3</c:v>
                </c:pt>
                <c:pt idx="21">
                  <c:v>2.8545718427837939E-3</c:v>
                </c:pt>
                <c:pt idx="22">
                  <c:v>2.8507111739036082E-3</c:v>
                </c:pt>
                <c:pt idx="23">
                  <c:v>2.3176040185955682E-3</c:v>
                </c:pt>
                <c:pt idx="24">
                  <c:v>2.7552635240969676E-3</c:v>
                </c:pt>
                <c:pt idx="25">
                  <c:v>2.8201774425100803E-3</c:v>
                </c:pt>
                <c:pt idx="26">
                  <c:v>2.5339939681283522E-3</c:v>
                </c:pt>
                <c:pt idx="27">
                  <c:v>2.6923352792896662E-3</c:v>
                </c:pt>
                <c:pt idx="28">
                  <c:v>2.3138831845879925E-3</c:v>
                </c:pt>
                <c:pt idx="29">
                  <c:v>2.6745175124697723E-3</c:v>
                </c:pt>
                <c:pt idx="30">
                  <c:v>2.2877218199473209E-3</c:v>
                </c:pt>
                <c:pt idx="31">
                  <c:v>2.5187569837790951E-3</c:v>
                </c:pt>
                <c:pt idx="32">
                  <c:v>2.8104850966340603E-3</c:v>
                </c:pt>
                <c:pt idx="33">
                  <c:v>3.1514738113049331E-3</c:v>
                </c:pt>
                <c:pt idx="34">
                  <c:v>3.2081512021908524E-3</c:v>
                </c:pt>
                <c:pt idx="35">
                  <c:v>3.4113312666424864E-3</c:v>
                </c:pt>
                <c:pt idx="36">
                  <c:v>3.4037571858838377E-3</c:v>
                </c:pt>
                <c:pt idx="37">
                  <c:v>3.4173780559417343E-3</c:v>
                </c:pt>
                <c:pt idx="38">
                  <c:v>3.4611878607069707E-3</c:v>
                </c:pt>
                <c:pt idx="39">
                  <c:v>3.1157832017938069E-3</c:v>
                </c:pt>
                <c:pt idx="40">
                  <c:v>3.2756262120537923E-3</c:v>
                </c:pt>
                <c:pt idx="41">
                  <c:v>3.0364989335961768E-3</c:v>
                </c:pt>
                <c:pt idx="42">
                  <c:v>2.6940201841169835E-3</c:v>
                </c:pt>
                <c:pt idx="43">
                  <c:v>2.7931356364066752E-3</c:v>
                </c:pt>
                <c:pt idx="44">
                  <c:v>2.4504216896058264E-3</c:v>
                </c:pt>
                <c:pt idx="45">
                  <c:v>2.2144130228404753E-3</c:v>
                </c:pt>
                <c:pt idx="46">
                  <c:v>2.4057928781668547E-3</c:v>
                </c:pt>
                <c:pt idx="47">
                  <c:v>2.2449425835007505E-3</c:v>
                </c:pt>
                <c:pt idx="48">
                  <c:v>2.2923352274777701E-3</c:v>
                </c:pt>
                <c:pt idx="49">
                  <c:v>2.1843485404066027E-3</c:v>
                </c:pt>
                <c:pt idx="50">
                  <c:v>2.4527538675050069E-3</c:v>
                </c:pt>
                <c:pt idx="51">
                  <c:v>2.1645459711329574E-3</c:v>
                </c:pt>
                <c:pt idx="52">
                  <c:v>2.0885288099007685E-3</c:v>
                </c:pt>
                <c:pt idx="53">
                  <c:v>2.2283286070803811E-3</c:v>
                </c:pt>
                <c:pt idx="54">
                  <c:v>2.4822815569917069E-3</c:v>
                </c:pt>
                <c:pt idx="55">
                  <c:v>1.9548059326464835E-3</c:v>
                </c:pt>
                <c:pt idx="56">
                  <c:v>2.2684634251931048E-3</c:v>
                </c:pt>
                <c:pt idx="57">
                  <c:v>2.1752995993472701E-3</c:v>
                </c:pt>
                <c:pt idx="58">
                  <c:v>1.8628666549763292E-3</c:v>
                </c:pt>
                <c:pt idx="59">
                  <c:v>2.4237047756597405E-3</c:v>
                </c:pt>
                <c:pt idx="60">
                  <c:v>1.6787865298754597E-3</c:v>
                </c:pt>
                <c:pt idx="61">
                  <c:v>1.1704127547759072E-3</c:v>
                </c:pt>
                <c:pt idx="62">
                  <c:v>1.1468801334029854E-3</c:v>
                </c:pt>
                <c:pt idx="63">
                  <c:v>8.3371689347722729E-4</c:v>
                </c:pt>
                <c:pt idx="64">
                  <c:v>1.1598804518916689E-3</c:v>
                </c:pt>
                <c:pt idx="65">
                  <c:v>3.3420508361447989E-4</c:v>
                </c:pt>
                <c:pt idx="66">
                  <c:v>7.2186272499506689E-4</c:v>
                </c:pt>
                <c:pt idx="67">
                  <c:v>1.54800526713468E-4</c:v>
                </c:pt>
                <c:pt idx="68">
                  <c:v>3.675398643402025E-4</c:v>
                </c:pt>
                <c:pt idx="69">
                  <c:v>3.7184495681751838E-5</c:v>
                </c:pt>
                <c:pt idx="70">
                  <c:v>4.199732495757119E-4</c:v>
                </c:pt>
                <c:pt idx="71">
                  <c:v>-1.9564185587684811E-4</c:v>
                </c:pt>
                <c:pt idx="72">
                  <c:v>-2.9470259011286042E-4</c:v>
                </c:pt>
                <c:pt idx="73">
                  <c:v>-5.8774604903564652E-4</c:v>
                </c:pt>
                <c:pt idx="74">
                  <c:v>-4.7200825856304115E-4</c:v>
                </c:pt>
                <c:pt idx="75">
                  <c:v>-3.9606491029886147E-4</c:v>
                </c:pt>
                <c:pt idx="76">
                  <c:v>-2.9382727173571745E-4</c:v>
                </c:pt>
                <c:pt idx="77">
                  <c:v>-5.8538388343361411E-4</c:v>
                </c:pt>
                <c:pt idx="78">
                  <c:v>-6.8436249065882389E-4</c:v>
                </c:pt>
                <c:pt idx="79">
                  <c:v>-1.1393661040649929E-3</c:v>
                </c:pt>
                <c:pt idx="80">
                  <c:v>-1.1750158287079423E-3</c:v>
                </c:pt>
                <c:pt idx="81">
                  <c:v>-1.2431574775850838E-3</c:v>
                </c:pt>
                <c:pt idx="82">
                  <c:v>-1.0722979947024325E-3</c:v>
                </c:pt>
                <c:pt idx="83">
                  <c:v>-8.8420644787392405E-4</c:v>
                </c:pt>
                <c:pt idx="84">
                  <c:v>-1.2185991295786337E-3</c:v>
                </c:pt>
                <c:pt idx="85">
                  <c:v>-1.6394825914298099E-3</c:v>
                </c:pt>
                <c:pt idx="86">
                  <c:v>-1.5011118932871186E-3</c:v>
                </c:pt>
                <c:pt idx="87">
                  <c:v>-1.4464660989898924E-3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EC-448A-A6FB-D79A0485E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846344"/>
        <c:axId val="864848392"/>
      </c:lineChart>
      <c:catAx>
        <c:axId val="864846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layout>
            <c:manualLayout>
              <c:xMode val="edge"/>
              <c:yMode val="edge"/>
              <c:x val="0.50258401145525233"/>
              <c:y val="0.812008667571883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48392"/>
        <c:crosses val="autoZero"/>
        <c:auto val="1"/>
        <c:lblAlgn val="ctr"/>
        <c:lblOffset val="100"/>
        <c:noMultiLvlLbl val="0"/>
      </c:catAx>
      <c:valAx>
        <c:axId val="86484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4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59336325953526"/>
          <c:y val="0.1655204862976658"/>
          <c:w val="0.82020487870766523"/>
          <c:h val="0.43577059167663623"/>
        </c:manualLayout>
      </c:layout>
      <c:lineChart>
        <c:grouping val="standard"/>
        <c:varyColors val="0"/>
        <c:ser>
          <c:idx val="0"/>
          <c:order val="0"/>
          <c:tx>
            <c:v>Volatility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'In-Sample'!$G$54:$G$141</c:f>
              <c:numCache>
                <c:formatCode>General</c:formatCode>
                <c:ptCount val="88"/>
                <c:pt idx="0">
                  <c:v>1.1464061286618994E-2</c:v>
                </c:pt>
                <c:pt idx="1">
                  <c:v>1.1431182876598566E-2</c:v>
                </c:pt>
                <c:pt idx="2">
                  <c:v>1.1494548442687838E-2</c:v>
                </c:pt>
                <c:pt idx="3">
                  <c:v>1.1831996616081197E-2</c:v>
                </c:pt>
                <c:pt idx="4">
                  <c:v>1.1902278897757768E-2</c:v>
                </c:pt>
                <c:pt idx="5">
                  <c:v>1.2134721410022394E-2</c:v>
                </c:pt>
                <c:pt idx="6">
                  <c:v>1.2194104206882354E-2</c:v>
                </c:pt>
                <c:pt idx="7">
                  <c:v>1.2254555800639144E-2</c:v>
                </c:pt>
                <c:pt idx="8">
                  <c:v>1.291941414639051E-2</c:v>
                </c:pt>
                <c:pt idx="9">
                  <c:v>1.167985234657116E-2</c:v>
                </c:pt>
                <c:pt idx="10">
                  <c:v>1.186052666950042E-2</c:v>
                </c:pt>
                <c:pt idx="11">
                  <c:v>1.1749104510810193E-2</c:v>
                </c:pt>
                <c:pt idx="12">
                  <c:v>1.1738020732619748E-2</c:v>
                </c:pt>
                <c:pt idx="13">
                  <c:v>1.1727129165955145E-2</c:v>
                </c:pt>
                <c:pt idx="14">
                  <c:v>1.1722218111214612E-2</c:v>
                </c:pt>
                <c:pt idx="15">
                  <c:v>1.1808458621736221E-2</c:v>
                </c:pt>
                <c:pt idx="16">
                  <c:v>1.1755563956992251E-2</c:v>
                </c:pt>
                <c:pt idx="17">
                  <c:v>1.1704186665192486E-2</c:v>
                </c:pt>
                <c:pt idx="18">
                  <c:v>1.1657650327596473E-2</c:v>
                </c:pt>
                <c:pt idx="19">
                  <c:v>1.1099894106788492E-2</c:v>
                </c:pt>
                <c:pt idx="20">
                  <c:v>1.1147434611140599E-2</c:v>
                </c:pt>
                <c:pt idx="21">
                  <c:v>1.1159972552463782E-2</c:v>
                </c:pt>
                <c:pt idx="22">
                  <c:v>1.1163065511382186E-2</c:v>
                </c:pt>
                <c:pt idx="23">
                  <c:v>1.1006359991344514E-2</c:v>
                </c:pt>
                <c:pt idx="24">
                  <c:v>1.0850184157622742E-2</c:v>
                </c:pt>
                <c:pt idx="25">
                  <c:v>1.0871656783363231E-2</c:v>
                </c:pt>
                <c:pt idx="26">
                  <c:v>1.0743038373483157E-2</c:v>
                </c:pt>
                <c:pt idx="27">
                  <c:v>1.0731419023127379E-2</c:v>
                </c:pt>
                <c:pt idx="28">
                  <c:v>1.0317371848645736E-2</c:v>
                </c:pt>
                <c:pt idx="29">
                  <c:v>1.024377666827697E-2</c:v>
                </c:pt>
                <c:pt idx="30">
                  <c:v>1.025411512926986E-2</c:v>
                </c:pt>
                <c:pt idx="31">
                  <c:v>1.0285839770327567E-2</c:v>
                </c:pt>
                <c:pt idx="32">
                  <c:v>1.0490315056150347E-2</c:v>
                </c:pt>
                <c:pt idx="33">
                  <c:v>1.1139838918412508E-2</c:v>
                </c:pt>
                <c:pt idx="34">
                  <c:v>1.1125300013098267E-2</c:v>
                </c:pt>
                <c:pt idx="35">
                  <c:v>1.0678629628454761E-2</c:v>
                </c:pt>
                <c:pt idx="36">
                  <c:v>1.0683674272707774E-2</c:v>
                </c:pt>
                <c:pt idx="37">
                  <c:v>1.0666448089363923E-2</c:v>
                </c:pt>
                <c:pt idx="38">
                  <c:v>1.0647255291687708E-2</c:v>
                </c:pt>
                <c:pt idx="39">
                  <c:v>1.0263476090361365E-2</c:v>
                </c:pt>
                <c:pt idx="40">
                  <c:v>1.0296332101479056E-2</c:v>
                </c:pt>
                <c:pt idx="41">
                  <c:v>1.0490112487030023E-2</c:v>
                </c:pt>
                <c:pt idx="42">
                  <c:v>1.0731464872843592E-2</c:v>
                </c:pt>
                <c:pt idx="43">
                  <c:v>1.0771393329398464E-2</c:v>
                </c:pt>
                <c:pt idx="44">
                  <c:v>1.1000444135921907E-2</c:v>
                </c:pt>
                <c:pt idx="45">
                  <c:v>1.1254769045432914E-2</c:v>
                </c:pt>
                <c:pt idx="46">
                  <c:v>1.1127739153069695E-2</c:v>
                </c:pt>
                <c:pt idx="47">
                  <c:v>1.1158261890798405E-2</c:v>
                </c:pt>
                <c:pt idx="48">
                  <c:v>1.1134540670698245E-2</c:v>
                </c:pt>
                <c:pt idx="49">
                  <c:v>1.1304686598956847E-2</c:v>
                </c:pt>
                <c:pt idx="50">
                  <c:v>1.1416935765797062E-2</c:v>
                </c:pt>
                <c:pt idx="51">
                  <c:v>1.1179231568866318E-2</c:v>
                </c:pt>
                <c:pt idx="52">
                  <c:v>1.1207647164819746E-2</c:v>
                </c:pt>
                <c:pt idx="53">
                  <c:v>1.1184200102201622E-2</c:v>
                </c:pt>
                <c:pt idx="54">
                  <c:v>1.155679174331606E-2</c:v>
                </c:pt>
                <c:pt idx="55">
                  <c:v>1.128789988565381E-2</c:v>
                </c:pt>
                <c:pt idx="56">
                  <c:v>1.1215128808078621E-2</c:v>
                </c:pt>
                <c:pt idx="57">
                  <c:v>1.1099771771615554E-2</c:v>
                </c:pt>
                <c:pt idx="58">
                  <c:v>1.1088141286760431E-2</c:v>
                </c:pt>
                <c:pt idx="59">
                  <c:v>1.1292989214365506E-2</c:v>
                </c:pt>
                <c:pt idx="60">
                  <c:v>1.0611253480933943E-2</c:v>
                </c:pt>
                <c:pt idx="61">
                  <c:v>1.1490387446523163E-2</c:v>
                </c:pt>
                <c:pt idx="62">
                  <c:v>1.1520007818946963E-2</c:v>
                </c:pt>
                <c:pt idx="63">
                  <c:v>1.148559931640211E-2</c:v>
                </c:pt>
                <c:pt idx="64">
                  <c:v>1.1552271684861552E-2</c:v>
                </c:pt>
                <c:pt idx="65">
                  <c:v>1.3003281703226559E-2</c:v>
                </c:pt>
                <c:pt idx="66">
                  <c:v>1.3290493300123175E-2</c:v>
                </c:pt>
                <c:pt idx="67">
                  <c:v>1.3324377199001347E-2</c:v>
                </c:pt>
                <c:pt idx="68">
                  <c:v>1.3426394768895943E-2</c:v>
                </c:pt>
                <c:pt idx="69">
                  <c:v>1.3468363952568743E-2</c:v>
                </c:pt>
                <c:pt idx="70">
                  <c:v>1.3890132347722848E-2</c:v>
                </c:pt>
                <c:pt idx="71">
                  <c:v>1.4338615135349793E-2</c:v>
                </c:pt>
                <c:pt idx="72">
                  <c:v>1.4390321435832553E-2</c:v>
                </c:pt>
                <c:pt idx="73">
                  <c:v>1.4393544743730067E-2</c:v>
                </c:pt>
                <c:pt idx="74">
                  <c:v>1.4373189356048971E-2</c:v>
                </c:pt>
                <c:pt idx="75">
                  <c:v>1.434259010244333E-2</c:v>
                </c:pt>
                <c:pt idx="76">
                  <c:v>1.4437458988478325E-2</c:v>
                </c:pt>
                <c:pt idx="77">
                  <c:v>1.4419800928472339E-2</c:v>
                </c:pt>
                <c:pt idx="78">
                  <c:v>1.4433374750928886E-2</c:v>
                </c:pt>
                <c:pt idx="79">
                  <c:v>1.4591940750955421E-2</c:v>
                </c:pt>
                <c:pt idx="80">
                  <c:v>1.4581521866453239E-2</c:v>
                </c:pt>
                <c:pt idx="81">
                  <c:v>1.4537379189730137E-2</c:v>
                </c:pt>
                <c:pt idx="82">
                  <c:v>1.4510448400482335E-2</c:v>
                </c:pt>
                <c:pt idx="83">
                  <c:v>1.4716060841588503E-2</c:v>
                </c:pt>
                <c:pt idx="84">
                  <c:v>1.44884754285837E-2</c:v>
                </c:pt>
                <c:pt idx="85">
                  <c:v>1.3804811772922277E-2</c:v>
                </c:pt>
                <c:pt idx="86">
                  <c:v>1.3876381460435018E-2</c:v>
                </c:pt>
                <c:pt idx="87">
                  <c:v>1.3827991854618553E-2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C-49EF-9F7D-72950564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113671"/>
        <c:axId val="1776123911"/>
      </c:lineChart>
      <c:catAx>
        <c:axId val="1776113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layout>
            <c:manualLayout>
              <c:xMode val="edge"/>
              <c:yMode val="edge"/>
              <c:x val="0.51851749525057489"/>
              <c:y val="0.8266562089185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123911"/>
        <c:crosses val="autoZero"/>
        <c:auto val="1"/>
        <c:lblAlgn val="ctr"/>
        <c:lblOffset val="100"/>
        <c:noMultiLvlLbl val="0"/>
      </c:catAx>
      <c:valAx>
        <c:axId val="1776123911"/>
        <c:scaling>
          <c:orientation val="minMax"/>
          <c:min val="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11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555463461440633"/>
          <c:y val="0.89260452841223725"/>
          <c:w val="0.18889073077118734"/>
          <c:h val="6.788290441298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Annualised</a:t>
            </a:r>
            <a:r>
              <a:rPr lang="en-MY" baseline="0"/>
              <a:t> Volatility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0.17021557916673244"/>
          <c:y val="0.16552054446017117"/>
          <c:w val="0.79915216403628331"/>
          <c:h val="0.4251476196031525"/>
        </c:manualLayout>
      </c:layout>
      <c:lineChart>
        <c:grouping val="standard"/>
        <c:varyColors val="0"/>
        <c:ser>
          <c:idx val="0"/>
          <c:order val="0"/>
          <c:tx>
            <c:v>Annualised Volatility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'In-Sample'!$H$54:$H$141</c:f>
              <c:numCache>
                <c:formatCode>General</c:formatCode>
                <c:ptCount val="88"/>
                <c:pt idx="0">
                  <c:v>1.5897792613064022E-3</c:v>
                </c:pt>
                <c:pt idx="1">
                  <c:v>1.585219846183926E-3</c:v>
                </c:pt>
                <c:pt idx="2">
                  <c:v>1.5940070691698365E-3</c:v>
                </c:pt>
                <c:pt idx="3">
                  <c:v>1.6408027111691219E-3</c:v>
                </c:pt>
                <c:pt idx="4">
                  <c:v>1.6505491100284094E-3</c:v>
                </c:pt>
                <c:pt idx="5">
                  <c:v>1.6827830868194778E-3</c:v>
                </c:pt>
                <c:pt idx="6">
                  <c:v>1.6910179990871335E-3</c:v>
                </c:pt>
                <c:pt idx="7">
                  <c:v>1.6994011268168883E-3</c:v>
                </c:pt>
                <c:pt idx="8">
                  <c:v>1.7916003905294542E-3</c:v>
                </c:pt>
                <c:pt idx="9">
                  <c:v>1.6197040971311814E-3</c:v>
                </c:pt>
                <c:pt idx="10">
                  <c:v>1.6447591177266116E-3</c:v>
                </c:pt>
                <c:pt idx="11">
                  <c:v>1.6293076444042847E-3</c:v>
                </c:pt>
                <c:pt idx="12">
                  <c:v>1.6277706009199956E-3</c:v>
                </c:pt>
                <c:pt idx="13">
                  <c:v>1.6262602123784816E-3</c:v>
                </c:pt>
                <c:pt idx="14">
                  <c:v>1.62557917162142E-3</c:v>
                </c:pt>
                <c:pt idx="15">
                  <c:v>1.6375385786486451E-3</c:v>
                </c:pt>
                <c:pt idx="16">
                  <c:v>1.6302034084204583E-3</c:v>
                </c:pt>
                <c:pt idx="17">
                  <c:v>1.6230786599597457E-3</c:v>
                </c:pt>
                <c:pt idx="18">
                  <c:v>1.6166252310607177E-3</c:v>
                </c:pt>
                <c:pt idx="19">
                  <c:v>1.5392783597787103E-3</c:v>
                </c:pt>
                <c:pt idx="20">
                  <c:v>1.5458710415519005E-3</c:v>
                </c:pt>
                <c:pt idx="21">
                  <c:v>1.5476097411799578E-3</c:v>
                </c:pt>
                <c:pt idx="22">
                  <c:v>1.5480386574096966E-3</c:v>
                </c:pt>
                <c:pt idx="23">
                  <c:v>1.5263075117310783E-3</c:v>
                </c:pt>
                <c:pt idx="24">
                  <c:v>1.5046498203283019E-3</c:v>
                </c:pt>
                <c:pt idx="25">
                  <c:v>1.5076275377562318E-3</c:v>
                </c:pt>
                <c:pt idx="26">
                  <c:v>1.4897913734565685E-3</c:v>
                </c:pt>
                <c:pt idx="27">
                  <c:v>1.4881800594759786E-3</c:v>
                </c:pt>
                <c:pt idx="28">
                  <c:v>1.4307620472431113E-3</c:v>
                </c:pt>
                <c:pt idx="29">
                  <c:v>1.4205562319951647E-3</c:v>
                </c:pt>
                <c:pt idx="30">
                  <c:v>1.4219899185805205E-3</c:v>
                </c:pt>
                <c:pt idx="31">
                  <c:v>1.4263893347354918E-3</c:v>
                </c:pt>
                <c:pt idx="32">
                  <c:v>1.4547449550277682E-3</c:v>
                </c:pt>
                <c:pt idx="33">
                  <c:v>1.5448177084902157E-3</c:v>
                </c:pt>
                <c:pt idx="34">
                  <c:v>1.5428015250825383E-3</c:v>
                </c:pt>
                <c:pt idx="35">
                  <c:v>1.4808594875801004E-3</c:v>
                </c:pt>
                <c:pt idx="36">
                  <c:v>1.4815590538693585E-3</c:v>
                </c:pt>
                <c:pt idx="37">
                  <c:v>1.4791702120490972E-3</c:v>
                </c:pt>
                <c:pt idx="38">
                  <c:v>1.4765086498898202E-3</c:v>
                </c:pt>
                <c:pt idx="39">
                  <c:v>1.4232880503190991E-3</c:v>
                </c:pt>
                <c:pt idx="40">
                  <c:v>1.4278443592726396E-3</c:v>
                </c:pt>
                <c:pt idx="41">
                  <c:v>1.45471686374507E-3</c:v>
                </c:pt>
                <c:pt idx="42">
                  <c:v>1.4881864176876235E-3</c:v>
                </c:pt>
                <c:pt idx="43">
                  <c:v>1.4937234983591131E-3</c:v>
                </c:pt>
                <c:pt idx="44">
                  <c:v>1.5254871301901383E-3</c:v>
                </c:pt>
                <c:pt idx="45">
                  <c:v>1.5607556494928181E-3</c:v>
                </c:pt>
                <c:pt idx="46">
                  <c:v>1.5431397729377312E-3</c:v>
                </c:pt>
                <c:pt idx="47">
                  <c:v>1.5473725150895929E-3</c:v>
                </c:pt>
                <c:pt idx="48">
                  <c:v>1.5440829737285277E-3</c:v>
                </c:pt>
                <c:pt idx="49">
                  <c:v>1.5676779686765205E-3</c:v>
                </c:pt>
                <c:pt idx="50">
                  <c:v>1.5832441273946169E-3</c:v>
                </c:pt>
                <c:pt idx="51">
                  <c:v>1.5502804862243557E-3</c:v>
                </c:pt>
                <c:pt idx="52">
                  <c:v>1.5542210203871615E-3</c:v>
                </c:pt>
                <c:pt idx="53">
                  <c:v>1.550969497828367E-3</c:v>
                </c:pt>
                <c:pt idx="54">
                  <c:v>1.6026386619378817E-3</c:v>
                </c:pt>
                <c:pt idx="55">
                  <c:v>1.5653500703857275E-3</c:v>
                </c:pt>
                <c:pt idx="56">
                  <c:v>1.5552585376331079E-3</c:v>
                </c:pt>
                <c:pt idx="57">
                  <c:v>1.5392613949426017E-3</c:v>
                </c:pt>
                <c:pt idx="58">
                  <c:v>1.537648536884769E-3</c:v>
                </c:pt>
                <c:pt idx="59">
                  <c:v>1.5660558332944857E-3</c:v>
                </c:pt>
                <c:pt idx="60">
                  <c:v>1.471516097017426E-3</c:v>
                </c:pt>
                <c:pt idx="61">
                  <c:v>1.5934300428225771E-3</c:v>
                </c:pt>
                <c:pt idx="62">
                  <c:v>1.5975376494215135E-3</c:v>
                </c:pt>
                <c:pt idx="63">
                  <c:v>1.592766048643152E-3</c:v>
                </c:pt>
                <c:pt idx="64">
                  <c:v>1.6020118426099655E-3</c:v>
                </c:pt>
                <c:pt idx="65">
                  <c:v>1.803230728087926E-3</c:v>
                </c:pt>
                <c:pt idx="66">
                  <c:v>1.8430598103771046E-3</c:v>
                </c:pt>
                <c:pt idx="67">
                  <c:v>1.847758661716254E-3</c:v>
                </c:pt>
                <c:pt idx="68">
                  <c:v>1.8619059532259924E-3</c:v>
                </c:pt>
                <c:pt idx="69">
                  <c:v>1.8677260318306712E-3</c:v>
                </c:pt>
                <c:pt idx="70">
                  <c:v>1.9262147847190667E-3</c:v>
                </c:pt>
                <c:pt idx="71">
                  <c:v>1.9884081572941427E-3</c:v>
                </c:pt>
                <c:pt idx="72">
                  <c:v>1.9955785310501097E-3</c:v>
                </c:pt>
                <c:pt idx="73">
                  <c:v>1.9960255234309208E-3</c:v>
                </c:pt>
                <c:pt idx="74">
                  <c:v>1.9932027390456848E-3</c:v>
                </c:pt>
                <c:pt idx="75">
                  <c:v>1.988959386050836E-3</c:v>
                </c:pt>
                <c:pt idx="76">
                  <c:v>2.0021153334756564E-3</c:v>
                </c:pt>
                <c:pt idx="77">
                  <c:v>1.999666601138087E-3</c:v>
                </c:pt>
                <c:pt idx="78">
                  <c:v>2.0015489516331301E-3</c:v>
                </c:pt>
                <c:pt idx="79">
                  <c:v>2.0235380994654724E-3</c:v>
                </c:pt>
                <c:pt idx="80">
                  <c:v>2.0220932601460202E-3</c:v>
                </c:pt>
                <c:pt idx="81">
                  <c:v>2.0159717722859675E-3</c:v>
                </c:pt>
                <c:pt idx="82">
                  <c:v>2.0122371437659033E-3</c:v>
                </c:pt>
                <c:pt idx="83">
                  <c:v>2.0407504591228886E-3</c:v>
                </c:pt>
                <c:pt idx="84">
                  <c:v>2.0091900408099475E-3</c:v>
                </c:pt>
                <c:pt idx="85">
                  <c:v>1.914382949823085E-3</c:v>
                </c:pt>
                <c:pt idx="86">
                  <c:v>1.9243078797498592E-3</c:v>
                </c:pt>
                <c:pt idx="87">
                  <c:v>1.9175974487894453E-3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D-4188-AE65-E4EADC5C2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60391"/>
        <c:axId val="1892828680"/>
      </c:lineChart>
      <c:catAx>
        <c:axId val="113360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layout>
            <c:manualLayout>
              <c:xMode val="edge"/>
              <c:yMode val="edge"/>
              <c:x val="0.53182860320417358"/>
              <c:y val="0.82113536025367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28680"/>
        <c:crosses val="autoZero"/>
        <c:auto val="1"/>
        <c:lblAlgn val="ctr"/>
        <c:lblOffset val="100"/>
        <c:noMultiLvlLbl val="0"/>
      </c:catAx>
      <c:valAx>
        <c:axId val="1892828680"/>
        <c:scaling>
          <c:orientation val="minMax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Annualised 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43678572243009"/>
          <c:y val="0.88006513394344277"/>
          <c:w val="0.33126428555139814"/>
          <c:h val="7.5308135277325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Drift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Market Drift</c:v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'In-Sample'!$A$54:$A$141</c:f>
              <c:strCache>
                <c:ptCount val="88"/>
                <c:pt idx="0">
                  <c:v>1/7/2024</c:v>
                </c:pt>
                <c:pt idx="1">
                  <c:v>01/14/2024</c:v>
                </c:pt>
                <c:pt idx="2">
                  <c:v>01/21/2024</c:v>
                </c:pt>
                <c:pt idx="3">
                  <c:v>01/28/2024</c:v>
                </c:pt>
                <c:pt idx="4">
                  <c:v>2/4/2024</c:v>
                </c:pt>
                <c:pt idx="5">
                  <c:v>2/11/2024</c:v>
                </c:pt>
                <c:pt idx="6">
                  <c:v>02/18/2024</c:v>
                </c:pt>
                <c:pt idx="7">
                  <c:v>02/25/2024</c:v>
                </c:pt>
                <c:pt idx="8">
                  <c:v>3/3/2024</c:v>
                </c:pt>
                <c:pt idx="9">
                  <c:v>3/10/2024</c:v>
                </c:pt>
                <c:pt idx="10">
                  <c:v>03/17/2024</c:v>
                </c:pt>
                <c:pt idx="11">
                  <c:v>03/24/2024</c:v>
                </c:pt>
                <c:pt idx="12">
                  <c:v>03/31/2024</c:v>
                </c:pt>
                <c:pt idx="13">
                  <c:v>4/7/2024</c:v>
                </c:pt>
                <c:pt idx="14">
                  <c:v>04/14/2024</c:v>
                </c:pt>
                <c:pt idx="15">
                  <c:v>04/21/2024</c:v>
                </c:pt>
                <c:pt idx="16">
                  <c:v>04/28/2024</c:v>
                </c:pt>
                <c:pt idx="17">
                  <c:v>5/5/2024</c:v>
                </c:pt>
                <c:pt idx="18">
                  <c:v>5/12/2024</c:v>
                </c:pt>
                <c:pt idx="19">
                  <c:v>05/19/2024</c:v>
                </c:pt>
                <c:pt idx="20">
                  <c:v>05/26/2024</c:v>
                </c:pt>
                <c:pt idx="21">
                  <c:v>6/2/2024</c:v>
                </c:pt>
                <c:pt idx="22">
                  <c:v>6/9/2024</c:v>
                </c:pt>
                <c:pt idx="23">
                  <c:v>06/16/2024</c:v>
                </c:pt>
                <c:pt idx="24">
                  <c:v>06/23/2024</c:v>
                </c:pt>
                <c:pt idx="25">
                  <c:v>06/30/2024</c:v>
                </c:pt>
                <c:pt idx="26">
                  <c:v>7/7/2024</c:v>
                </c:pt>
                <c:pt idx="27">
                  <c:v>07/14/2024</c:v>
                </c:pt>
                <c:pt idx="28">
                  <c:v>07/21/2024</c:v>
                </c:pt>
                <c:pt idx="29">
                  <c:v>07/28/2024</c:v>
                </c:pt>
                <c:pt idx="30">
                  <c:v>8/4/2024</c:v>
                </c:pt>
                <c:pt idx="31">
                  <c:v>8/11/2024</c:v>
                </c:pt>
                <c:pt idx="32">
                  <c:v>08/18/2024</c:v>
                </c:pt>
                <c:pt idx="33">
                  <c:v>08/25/2024</c:v>
                </c:pt>
                <c:pt idx="34">
                  <c:v>9/1/2024</c:v>
                </c:pt>
                <c:pt idx="35">
                  <c:v>9/8/2024</c:v>
                </c:pt>
                <c:pt idx="36">
                  <c:v>09/15/2024</c:v>
                </c:pt>
                <c:pt idx="37">
                  <c:v>09/22/2024</c:v>
                </c:pt>
                <c:pt idx="38">
                  <c:v>09/29/2024</c:v>
                </c:pt>
                <c:pt idx="39">
                  <c:v>10/6/2024</c:v>
                </c:pt>
                <c:pt idx="40">
                  <c:v>10/13/2024</c:v>
                </c:pt>
                <c:pt idx="41">
                  <c:v>10/20/2024</c:v>
                </c:pt>
                <c:pt idx="42">
                  <c:v>10/27/2024</c:v>
                </c:pt>
                <c:pt idx="43">
                  <c:v>11/3/2024</c:v>
                </c:pt>
                <c:pt idx="44">
                  <c:v>11/10/2024</c:v>
                </c:pt>
                <c:pt idx="45">
                  <c:v>11/17/2024</c:v>
                </c:pt>
                <c:pt idx="46">
                  <c:v>11/24/2024</c:v>
                </c:pt>
                <c:pt idx="47">
                  <c:v>12/1/2024</c:v>
                </c:pt>
                <c:pt idx="48">
                  <c:v>12/8/2024</c:v>
                </c:pt>
                <c:pt idx="49">
                  <c:v>12/15/2024</c:v>
                </c:pt>
                <c:pt idx="50">
                  <c:v>12/22/2024</c:v>
                </c:pt>
                <c:pt idx="51">
                  <c:v>12/29/2024</c:v>
                </c:pt>
                <c:pt idx="52">
                  <c:v>1/5/2025</c:v>
                </c:pt>
                <c:pt idx="53">
                  <c:v>1/12/2025</c:v>
                </c:pt>
                <c:pt idx="54">
                  <c:v>01/19/2025</c:v>
                </c:pt>
                <c:pt idx="55">
                  <c:v>01/26/2025</c:v>
                </c:pt>
                <c:pt idx="56">
                  <c:v>2/2/2025</c:v>
                </c:pt>
                <c:pt idx="57">
                  <c:v>2/9/2025</c:v>
                </c:pt>
                <c:pt idx="58">
                  <c:v>02/16/2025</c:v>
                </c:pt>
                <c:pt idx="59">
                  <c:v>02/23/2025</c:v>
                </c:pt>
                <c:pt idx="60">
                  <c:v>3/2/2025</c:v>
                </c:pt>
                <c:pt idx="61">
                  <c:v>3/9/2025</c:v>
                </c:pt>
                <c:pt idx="62">
                  <c:v>03/16/2025</c:v>
                </c:pt>
                <c:pt idx="63">
                  <c:v>03/23/2025</c:v>
                </c:pt>
                <c:pt idx="64">
                  <c:v>03/30/2025</c:v>
                </c:pt>
                <c:pt idx="65">
                  <c:v>4/6/2025</c:v>
                </c:pt>
                <c:pt idx="66">
                  <c:v>04/13/2025</c:v>
                </c:pt>
                <c:pt idx="67">
                  <c:v>04/20/2025</c:v>
                </c:pt>
                <c:pt idx="68">
                  <c:v>04/27/2025</c:v>
                </c:pt>
                <c:pt idx="69">
                  <c:v>5/4/2025</c:v>
                </c:pt>
                <c:pt idx="70">
                  <c:v>5/11/2025</c:v>
                </c:pt>
                <c:pt idx="71">
                  <c:v>05/18/2025</c:v>
                </c:pt>
                <c:pt idx="72">
                  <c:v>05/25/2025</c:v>
                </c:pt>
                <c:pt idx="73">
                  <c:v>6/1/2025</c:v>
                </c:pt>
                <c:pt idx="74">
                  <c:v>6/8/2025</c:v>
                </c:pt>
                <c:pt idx="75">
                  <c:v>06/15/2025</c:v>
                </c:pt>
                <c:pt idx="76">
                  <c:v>06/22/2025</c:v>
                </c:pt>
                <c:pt idx="77">
                  <c:v>06/29/2025</c:v>
                </c:pt>
                <c:pt idx="78">
                  <c:v>7/6/2025</c:v>
                </c:pt>
                <c:pt idx="79">
                  <c:v>07/13/2025</c:v>
                </c:pt>
                <c:pt idx="80">
                  <c:v>07/20/2025</c:v>
                </c:pt>
                <c:pt idx="81">
                  <c:v>07/27/2025</c:v>
                </c:pt>
                <c:pt idx="82">
                  <c:v>8/3/2025</c:v>
                </c:pt>
                <c:pt idx="83">
                  <c:v>8/10/2025</c:v>
                </c:pt>
                <c:pt idx="84">
                  <c:v>08/17/2025</c:v>
                </c:pt>
                <c:pt idx="85">
                  <c:v>08/24/2025</c:v>
                </c:pt>
                <c:pt idx="86">
                  <c:v>08/31/2025</c:v>
                </c:pt>
                <c:pt idx="87">
                  <c:v>9/7/2025</c:v>
                </c:pt>
              </c:strCache>
            </c:strRef>
          </c:cat>
          <c:val>
            <c:numRef>
              <c:f>'In-Sample'!$I$54:$I$141</c:f>
              <c:numCache>
                <c:formatCode>General</c:formatCode>
                <c:ptCount val="88"/>
                <c:pt idx="0">
                  <c:v>4.2801236706358544E-4</c:v>
                </c:pt>
                <c:pt idx="1">
                  <c:v>4.9490980718757034E-4</c:v>
                </c:pt>
                <c:pt idx="2">
                  <c:v>8.5931025916660643E-4</c:v>
                </c:pt>
                <c:pt idx="3">
                  <c:v>1.3416242943149578E-3</c:v>
                </c:pt>
                <c:pt idx="4">
                  <c:v>1.0880676185977798E-3</c:v>
                </c:pt>
                <c:pt idx="5">
                  <c:v>1.4378609719998686E-3</c:v>
                </c:pt>
                <c:pt idx="6">
                  <c:v>1.6626957674992678E-3</c:v>
                </c:pt>
                <c:pt idx="7">
                  <c:v>1.5666896840827655E-3</c:v>
                </c:pt>
                <c:pt idx="8">
                  <c:v>2.1896308407360473E-3</c:v>
                </c:pt>
                <c:pt idx="9">
                  <c:v>2.8315415064196635E-3</c:v>
                </c:pt>
                <c:pt idx="10">
                  <c:v>2.4779573237527566E-3</c:v>
                </c:pt>
                <c:pt idx="11">
                  <c:v>2.3607244723958254E-3</c:v>
                </c:pt>
                <c:pt idx="12">
                  <c:v>2.060336451591351E-3</c:v>
                </c:pt>
                <c:pt idx="13">
                  <c:v>1.9695646482162507E-3</c:v>
                </c:pt>
                <c:pt idx="14">
                  <c:v>1.9916573940698592E-3</c:v>
                </c:pt>
                <c:pt idx="15">
                  <c:v>2.3572502715493051E-3</c:v>
                </c:pt>
                <c:pt idx="16">
                  <c:v>2.1780690127890211E-3</c:v>
                </c:pt>
                <c:pt idx="17">
                  <c:v>2.4472773110642671E-3</c:v>
                </c:pt>
                <c:pt idx="18">
                  <c:v>2.3463185239264443E-3</c:v>
                </c:pt>
                <c:pt idx="19">
                  <c:v>2.9055302499790357E-3</c:v>
                </c:pt>
                <c:pt idx="20">
                  <c:v>2.8089313828462414E-3</c:v>
                </c:pt>
                <c:pt idx="21">
                  <c:v>2.8545718427837939E-3</c:v>
                </c:pt>
                <c:pt idx="22">
                  <c:v>2.8507111739036082E-3</c:v>
                </c:pt>
                <c:pt idx="23">
                  <c:v>2.3176040185955682E-3</c:v>
                </c:pt>
                <c:pt idx="24">
                  <c:v>2.7552635240969676E-3</c:v>
                </c:pt>
                <c:pt idx="25">
                  <c:v>2.8201774425100803E-3</c:v>
                </c:pt>
                <c:pt idx="26">
                  <c:v>2.5339939681283522E-3</c:v>
                </c:pt>
                <c:pt idx="27">
                  <c:v>2.6923352792896662E-3</c:v>
                </c:pt>
                <c:pt idx="28">
                  <c:v>2.3138831845879925E-3</c:v>
                </c:pt>
                <c:pt idx="29">
                  <c:v>2.6745175124697723E-3</c:v>
                </c:pt>
                <c:pt idx="30">
                  <c:v>2.2877218199473209E-3</c:v>
                </c:pt>
                <c:pt idx="31">
                  <c:v>2.5187569837790951E-3</c:v>
                </c:pt>
                <c:pt idx="32">
                  <c:v>2.8104850966340603E-3</c:v>
                </c:pt>
                <c:pt idx="33">
                  <c:v>3.1514738113049331E-3</c:v>
                </c:pt>
                <c:pt idx="34">
                  <c:v>3.2081512021908524E-3</c:v>
                </c:pt>
                <c:pt idx="35">
                  <c:v>3.4113312666424864E-3</c:v>
                </c:pt>
                <c:pt idx="36">
                  <c:v>3.4037571858838377E-3</c:v>
                </c:pt>
                <c:pt idx="37">
                  <c:v>3.4173780559417343E-3</c:v>
                </c:pt>
                <c:pt idx="38">
                  <c:v>3.4611878607069707E-3</c:v>
                </c:pt>
                <c:pt idx="39">
                  <c:v>3.1157832017938069E-3</c:v>
                </c:pt>
                <c:pt idx="40">
                  <c:v>3.2756262120537923E-3</c:v>
                </c:pt>
                <c:pt idx="41">
                  <c:v>3.0364989335961768E-3</c:v>
                </c:pt>
                <c:pt idx="42">
                  <c:v>2.6940201841169835E-3</c:v>
                </c:pt>
                <c:pt idx="43">
                  <c:v>2.7931356364066752E-3</c:v>
                </c:pt>
                <c:pt idx="44">
                  <c:v>2.4504216896058264E-3</c:v>
                </c:pt>
                <c:pt idx="45">
                  <c:v>2.2144130228404753E-3</c:v>
                </c:pt>
                <c:pt idx="46">
                  <c:v>2.4057928781668547E-3</c:v>
                </c:pt>
                <c:pt idx="47">
                  <c:v>2.2449425835007505E-3</c:v>
                </c:pt>
                <c:pt idx="48">
                  <c:v>2.2923352274777701E-3</c:v>
                </c:pt>
                <c:pt idx="49">
                  <c:v>2.1843485404066027E-3</c:v>
                </c:pt>
                <c:pt idx="50">
                  <c:v>2.4527538675050069E-3</c:v>
                </c:pt>
                <c:pt idx="51">
                  <c:v>2.1645459711329574E-3</c:v>
                </c:pt>
                <c:pt idx="52">
                  <c:v>2.0885288099007685E-3</c:v>
                </c:pt>
                <c:pt idx="53">
                  <c:v>2.2283286070803811E-3</c:v>
                </c:pt>
                <c:pt idx="54">
                  <c:v>2.4822815569917069E-3</c:v>
                </c:pt>
                <c:pt idx="55">
                  <c:v>1.9548059326464835E-3</c:v>
                </c:pt>
                <c:pt idx="56">
                  <c:v>2.2684634251931048E-3</c:v>
                </c:pt>
                <c:pt idx="57">
                  <c:v>2.1752995993472701E-3</c:v>
                </c:pt>
                <c:pt idx="58">
                  <c:v>1.8628666549763292E-3</c:v>
                </c:pt>
                <c:pt idx="59">
                  <c:v>2.4237047756597405E-3</c:v>
                </c:pt>
                <c:pt idx="60">
                  <c:v>1.6787865298754597E-3</c:v>
                </c:pt>
                <c:pt idx="61">
                  <c:v>1.1704127547759072E-3</c:v>
                </c:pt>
                <c:pt idx="62">
                  <c:v>1.1468801334029854E-3</c:v>
                </c:pt>
                <c:pt idx="63">
                  <c:v>8.3371689347722729E-4</c:v>
                </c:pt>
                <c:pt idx="64">
                  <c:v>1.1598804518916689E-3</c:v>
                </c:pt>
                <c:pt idx="65">
                  <c:v>3.3420508361447989E-4</c:v>
                </c:pt>
                <c:pt idx="66">
                  <c:v>7.2186272499506689E-4</c:v>
                </c:pt>
                <c:pt idx="67">
                  <c:v>1.54800526713468E-4</c:v>
                </c:pt>
                <c:pt idx="68">
                  <c:v>3.675398643402025E-4</c:v>
                </c:pt>
                <c:pt idx="69">
                  <c:v>3.7184495681751838E-5</c:v>
                </c:pt>
                <c:pt idx="70">
                  <c:v>4.199732495757119E-4</c:v>
                </c:pt>
                <c:pt idx="71">
                  <c:v>-1.9564185587684811E-4</c:v>
                </c:pt>
                <c:pt idx="72">
                  <c:v>-2.9470259011286042E-4</c:v>
                </c:pt>
                <c:pt idx="73">
                  <c:v>-5.8774604903564652E-4</c:v>
                </c:pt>
                <c:pt idx="74">
                  <c:v>-4.7200825856304115E-4</c:v>
                </c:pt>
                <c:pt idx="75">
                  <c:v>-3.9606491029886147E-4</c:v>
                </c:pt>
                <c:pt idx="76">
                  <c:v>-2.9382727173571745E-4</c:v>
                </c:pt>
                <c:pt idx="77">
                  <c:v>-5.8538388343361411E-4</c:v>
                </c:pt>
                <c:pt idx="78">
                  <c:v>-6.8436249065882389E-4</c:v>
                </c:pt>
                <c:pt idx="79">
                  <c:v>-1.1393661040649929E-3</c:v>
                </c:pt>
                <c:pt idx="80">
                  <c:v>-1.1750158287079423E-3</c:v>
                </c:pt>
                <c:pt idx="81">
                  <c:v>-1.2431574775850838E-3</c:v>
                </c:pt>
                <c:pt idx="82">
                  <c:v>-1.0722979947024325E-3</c:v>
                </c:pt>
                <c:pt idx="83">
                  <c:v>-8.8420644787392405E-4</c:v>
                </c:pt>
                <c:pt idx="84">
                  <c:v>-1.2185991295786337E-3</c:v>
                </c:pt>
                <c:pt idx="85">
                  <c:v>-1.6394825914298099E-3</c:v>
                </c:pt>
                <c:pt idx="86">
                  <c:v>-1.5011118932871186E-3</c:v>
                </c:pt>
                <c:pt idx="87">
                  <c:v>-1.4464660989898924E-3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D-4547-BCD0-0D22FFACA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907527"/>
        <c:axId val="764909575"/>
      </c:lineChart>
      <c:catAx>
        <c:axId val="764907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layout>
            <c:manualLayout>
              <c:xMode val="edge"/>
              <c:yMode val="edge"/>
              <c:x val="0.50255687058116949"/>
              <c:y val="0.82111585346953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09575"/>
        <c:crosses val="autoZero"/>
        <c:auto val="1"/>
        <c:lblAlgn val="ctr"/>
        <c:lblOffset val="100"/>
        <c:noMultiLvlLbl val="0"/>
      </c:catAx>
      <c:valAx>
        <c:axId val="764909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Market</a:t>
                </a:r>
                <a:r>
                  <a:rPr lang="en-MY" baseline="0"/>
                  <a:t> Drift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0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Forecasted Price</a:t>
            </a:r>
            <a:r>
              <a:rPr lang="en-MY" baseline="0"/>
              <a:t> and CI VS Actual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361843898343"/>
          <c:y val="0.13195575879680779"/>
          <c:w val="0.85459527394141988"/>
          <c:h val="0.59221913077386812"/>
        </c:manualLayout>
      </c:layout>
      <c:areaChart>
        <c:grouping val="stacked"/>
        <c:varyColors val="0"/>
        <c:ser>
          <c:idx val="10"/>
          <c:order val="10"/>
          <c:tx>
            <c:strRef>
              <c:f>'Out Sample Forecast Summary'!$O$2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Summary'!$O$3:$O$12</c15:sqref>
                  </c15:fullRef>
                </c:ext>
              </c:extLst>
              <c:f>'Out Sample Forecast Summary'!$O$4:$O$12</c:f>
              <c:numCache>
                <c:formatCode>General</c:formatCode>
                <c:ptCount val="9"/>
                <c:pt idx="0">
                  <c:v>9.817904151058455</c:v>
                </c:pt>
                <c:pt idx="1">
                  <c:v>9.7514725515850209</c:v>
                </c:pt>
                <c:pt idx="2">
                  <c:v>9.8430082086962507</c:v>
                </c:pt>
                <c:pt idx="3">
                  <c:v>9.9505030287531291</c:v>
                </c:pt>
                <c:pt idx="4">
                  <c:v>9.89799717588334</c:v>
                </c:pt>
                <c:pt idx="5">
                  <c:v>9.8407159490368077</c:v>
                </c:pt>
                <c:pt idx="6">
                  <c:v>9.8531445705141358</c:v>
                </c:pt>
                <c:pt idx="7">
                  <c:v>9.8222088287723608</c:v>
                </c:pt>
                <c:pt idx="8">
                  <c:v>9.865340463692851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97-4A0E-85FB-4FCE3C729E59}"/>
            </c:ext>
          </c:extLst>
        </c:ser>
        <c:ser>
          <c:idx val="12"/>
          <c:order val="12"/>
          <c:tx>
            <c:strRef>
              <c:f>'Out Sample Forecast Summary'!$Q$2</c:f>
              <c:strCache>
                <c:ptCount val="1"/>
                <c:pt idx="0">
                  <c:v>Confidence Interval (Forecasted Price)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4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Summary'!$Q$3:$Q$12</c15:sqref>
                  </c15:fullRef>
                </c:ext>
              </c:extLst>
              <c:f>'Out Sample Forecast Summary'!$Q$4:$Q$12</c:f>
              <c:numCache>
                <c:formatCode>General</c:formatCode>
                <c:ptCount val="9"/>
                <c:pt idx="0">
                  <c:v>7.4180330788220061E-2</c:v>
                </c:pt>
                <c:pt idx="1">
                  <c:v>7.3841798605466025E-2</c:v>
                </c:pt>
                <c:pt idx="2">
                  <c:v>7.5086913565588276E-2</c:v>
                </c:pt>
                <c:pt idx="3">
                  <c:v>7.5793528819337652E-2</c:v>
                </c:pt>
                <c:pt idx="4">
                  <c:v>7.5041447816690976E-2</c:v>
                </c:pt>
                <c:pt idx="5">
                  <c:v>7.4246875462094408E-2</c:v>
                </c:pt>
                <c:pt idx="6">
                  <c:v>7.3777040278857342E-2</c:v>
                </c:pt>
                <c:pt idx="7">
                  <c:v>7.3210606193592653E-2</c:v>
                </c:pt>
                <c:pt idx="8">
                  <c:v>7.2962410374483255E-2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97-4A0E-85FB-4FCE3C72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53951"/>
        <c:axId val="420451551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 Sample Forecast Summary'!$C$2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Summary'!$C$3:$C$12</c15:sqref>
                        </c15:fullRef>
                        <c15:formulaRef>
                          <c15:sqref>'Out Sample Forecast Summary'!$C$4:$C$12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33.54</c:v>
                      </c:pt>
                      <c:pt idx="1">
                        <c:v>50.26</c:v>
                      </c:pt>
                      <c:pt idx="2">
                        <c:v>54.95</c:v>
                      </c:pt>
                      <c:pt idx="3">
                        <c:v>37.35</c:v>
                      </c:pt>
                      <c:pt idx="4">
                        <c:v>53.41</c:v>
                      </c:pt>
                      <c:pt idx="5">
                        <c:v>43.01</c:v>
                      </c:pt>
                      <c:pt idx="6">
                        <c:v>47.13</c:v>
                      </c:pt>
                      <c:pt idx="7">
                        <c:v>56.07</c:v>
                      </c:pt>
                      <c:pt idx="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897-4A0E-85FB-4FCE3C729E59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Summary'!$D$2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Summary'!$D$3:$D$12</c15:sqref>
                        </c15:fullRef>
                        <c15:formulaRef>
                          <c15:sqref>'Out Sample Forecast Summary'!$D$4:$D$12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-7.1000000000000004E-3</c:v>
                      </c:pt>
                      <c:pt idx="1">
                        <c:v>9.1999999999999998E-3</c:v>
                      </c:pt>
                      <c:pt idx="2">
                        <c:v>1.11E-2</c:v>
                      </c:pt>
                      <c:pt idx="3">
                        <c:v>-5.0000000000000001E-3</c:v>
                      </c:pt>
                      <c:pt idx="4">
                        <c:v>-6.0000000000000001E-3</c:v>
                      </c:pt>
                      <c:pt idx="5">
                        <c:v>1E-3</c:v>
                      </c:pt>
                      <c:pt idx="6">
                        <c:v>-3.0000000000000001E-3</c:v>
                      </c:pt>
                      <c:pt idx="7">
                        <c:v>4.1000000000000003E-3</c:v>
                      </c:pt>
                      <c:pt idx="8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897-4A0E-85FB-4FCE3C729E59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Summary'!$E$2</c15:sqref>
                        </c15:formulaRef>
                      </c:ext>
                    </c:extLst>
                    <c:strCache>
                      <c:ptCount val="1"/>
                      <c:pt idx="0">
                        <c:v>Weekly Log Return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Summary'!$E$3:$E$12</c15:sqref>
                        </c15:fullRef>
                        <c15:formulaRef>
                          <c15:sqref>'Out Sample Forecast Summary'!$E$4:$E$12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-7.1174677688638785E-3</c:v>
                      </c:pt>
                      <c:pt idx="1">
                        <c:v>9.1417599580945093E-3</c:v>
                      </c:pt>
                      <c:pt idx="2">
                        <c:v>1.1060947359424976E-2</c:v>
                      </c:pt>
                      <c:pt idx="3">
                        <c:v>-5.0125418235443982E-3</c:v>
                      </c:pt>
                      <c:pt idx="4">
                        <c:v>-6.0484055358804812E-3</c:v>
                      </c:pt>
                      <c:pt idx="5">
                        <c:v>1.0106115059234598E-3</c:v>
                      </c:pt>
                      <c:pt idx="6">
                        <c:v>-3.0349036951541584E-3</c:v>
                      </c:pt>
                      <c:pt idx="7">
                        <c:v>4.0444948965064438E-3</c:v>
                      </c:pt>
                      <c:pt idx="8">
                        <c:v>2.0161297151844956E-3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97-4A0E-85FB-4FCE3C729E59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Summary'!$F$2</c15:sqref>
                        </c15:formulaRef>
                      </c:ext>
                    </c:extLst>
                    <c:strCache>
                      <c:ptCount val="1"/>
                      <c:pt idx="0">
                        <c:v>Raw Drift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Summary'!$F$3:$F$12</c15:sqref>
                        </c15:fullRef>
                        <c15:formulaRef>
                          <c15:sqref>'Out Sample Forecast Summary'!$F$4:$F$12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-1.5090695277210678E-3</c:v>
                      </c:pt>
                      <c:pt idx="1">
                        <c:v>-1.1509829140164862E-3</c:v>
                      </c:pt>
                      <c:pt idx="2">
                        <c:v>-9.3827238787369831E-4</c:v>
                      </c:pt>
                      <c:pt idx="3">
                        <c:v>-1.1442447520695097E-3</c:v>
                      </c:pt>
                      <c:pt idx="4">
                        <c:v>-1.4418129442899633E-3</c:v>
                      </c:pt>
                      <c:pt idx="5">
                        <c:v>-1.2046689610129291E-3</c:v>
                      </c:pt>
                      <c:pt idx="6">
                        <c:v>-1.0058837058064861E-3</c:v>
                      </c:pt>
                      <c:pt idx="7">
                        <c:v>-1.1121328619534904E-3</c:v>
                      </c:pt>
                      <c:pt idx="8">
                        <c:v>-8.1522613027415827E-4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97-4A0E-85FB-4FCE3C729E59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Summary'!$G$2</c15:sqref>
                        </c15:formulaRef>
                      </c:ext>
                    </c:extLst>
                    <c:strCache>
                      <c:ptCount val="1"/>
                      <c:pt idx="0">
                        <c:v>Volatility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Summary'!$G$3:$G$12</c15:sqref>
                        </c15:fullRef>
                        <c15:formulaRef>
                          <c15:sqref>'Out Sample Forecast Summary'!$G$4:$G$12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1.3846819876785642E-2</c:v>
                      </c:pt>
                      <c:pt idx="1">
                        <c:v>1.3877412993345967E-2</c:v>
                      </c:pt>
                      <c:pt idx="2">
                        <c:v>1.3979793443020059E-2</c:v>
                      </c:pt>
                      <c:pt idx="3">
                        <c:v>1.3958986886799286E-2</c:v>
                      </c:pt>
                      <c:pt idx="4">
                        <c:v>1.3894034207366939E-2</c:v>
                      </c:pt>
                      <c:pt idx="5">
                        <c:v>1.3827188110071628E-2</c:v>
                      </c:pt>
                      <c:pt idx="6">
                        <c:v>1.3722748458417961E-2</c:v>
                      </c:pt>
                      <c:pt idx="7">
                        <c:v>1.3660510343812229E-2</c:v>
                      </c:pt>
                      <c:pt idx="8">
                        <c:v>1.3555066178580752E-2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97-4A0E-85FB-4FCE3C729E59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Summary'!$H$2</c15:sqref>
                        </c15:formulaRef>
                      </c:ext>
                    </c:extLst>
                    <c:strCache>
                      <c:ptCount val="1"/>
                      <c:pt idx="0">
                        <c:v>Annualised Volatility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Summary'!$H$3:$H$12</c15:sqref>
                        </c15:fullRef>
                        <c15:formulaRef>
                          <c15:sqref>'Out Sample Forecast Summary'!$H$4:$H$12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1.9202084256870998E-3</c:v>
                      </c:pt>
                      <c:pt idx="1">
                        <c:v>1.9244509276268881E-3</c:v>
                      </c:pt>
                      <c:pt idx="2">
                        <c:v>1.9386485415078497E-3</c:v>
                      </c:pt>
                      <c:pt idx="3">
                        <c:v>1.9357631913032411E-3</c:v>
                      </c:pt>
                      <c:pt idx="4">
                        <c:v>1.9267558752966219E-3</c:v>
                      </c:pt>
                      <c:pt idx="5">
                        <c:v>1.9174859894749718E-3</c:v>
                      </c:pt>
                      <c:pt idx="6">
                        <c:v>1.9030028156584761E-3</c:v>
                      </c:pt>
                      <c:pt idx="7">
                        <c:v>1.8943719420623541E-3</c:v>
                      </c:pt>
                      <c:pt idx="8">
                        <c:v>1.8797494672761776E-3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97-4A0E-85FB-4FCE3C729E59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Summary'!$I$2</c15:sqref>
                        </c15:formulaRef>
                      </c:ext>
                    </c:extLst>
                    <c:strCache>
                      <c:ptCount val="1"/>
                      <c:pt idx="0">
                        <c:v>Market Drift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Summary'!$I$3:$I$12</c15:sqref>
                        </c15:fullRef>
                        <c15:formulaRef>
                          <c15:sqref>'Out Sample Forecast Summary'!$I$4:$I$12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-1.5109131279201077E-3</c:v>
                      </c:pt>
                      <c:pt idx="1">
                        <c:v>-1.1528346697029083E-3</c:v>
                      </c:pt>
                      <c:pt idx="2">
                        <c:v>-9.4015156695744352E-4</c:v>
                      </c:pt>
                      <c:pt idx="3">
                        <c:v>-1.1461183416359121E-3</c:v>
                      </c:pt>
                      <c:pt idx="4">
                        <c:v>-1.4436691383914583E-3</c:v>
                      </c:pt>
                      <c:pt idx="5">
                        <c:v>-1.2065073372728454E-3</c:v>
                      </c:pt>
                      <c:pt idx="6">
                        <c:v>-1.0076944156646882E-3</c:v>
                      </c:pt>
                      <c:pt idx="7">
                        <c:v>-1.1139271844809269E-3</c:v>
                      </c:pt>
                      <c:pt idx="8">
                        <c:v>-8.1699285930402084E-4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97-4A0E-85FB-4FCE3C729E59}"/>
                  </c:ext>
                </c:extLst>
              </c15:ser>
            </c15:filteredAreaSeries>
          </c:ext>
        </c:extLst>
      </c:areaChart>
      <c:areaChart>
        <c:grouping val="stacked"/>
        <c:varyColors val="0"/>
        <c:ser>
          <c:idx val="16"/>
          <c:order val="16"/>
          <c:tx>
            <c:strRef>
              <c:f>'Out Sample Forecast Summary'!$K$2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Summary'!$K$3:$K$12</c15:sqref>
                  </c15:fullRef>
                </c:ext>
              </c:extLst>
              <c:f>'Out Sample Forecast Summary'!$K$4:$K$12</c:f>
              <c:numCache>
                <c:formatCode>General</c:formatCode>
                <c:ptCount val="9"/>
                <c:pt idx="0">
                  <c:v>10.037685369131536</c:v>
                </c:pt>
                <c:pt idx="1">
                  <c:v>10.029523655630475</c:v>
                </c:pt>
                <c:pt idx="2">
                  <c:v>10.021807925947309</c:v>
                </c:pt>
                <c:pt idx="3">
                  <c:v>10.008127684102435</c:v>
                </c:pt>
                <c:pt idx="4">
                  <c:v>9.9905962406943178</c:v>
                </c:pt>
                <c:pt idx="5">
                  <c:v>9.9809007343283778</c:v>
                </c:pt>
                <c:pt idx="6">
                  <c:v>9.9730245170038909</c:v>
                </c:pt>
                <c:pt idx="7">
                  <c:v>9.9608422844619966</c:v>
                </c:pt>
                <c:pt idx="8">
                  <c:v>9.9558539146132237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40-4614-966A-C28F928CCCA8}"/>
            </c:ext>
          </c:extLst>
        </c:ser>
        <c:ser>
          <c:idx val="17"/>
          <c:order val="17"/>
          <c:tx>
            <c:strRef>
              <c:f>'Out Sample Forecast Summary'!$M$2</c:f>
              <c:strCache>
                <c:ptCount val="1"/>
                <c:pt idx="0">
                  <c:v>Confidence Interval (Avg Price)</c:v>
                </c:pt>
              </c:strCache>
            </c:strRef>
          </c:tx>
          <c:spPr>
            <a:solidFill>
              <a:srgbClr val="CFAFE7">
                <a:alpha val="77000"/>
              </a:srgbClr>
            </a:solidFill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Summary'!$M$3:$M$12</c15:sqref>
                  </c15:fullRef>
                </c:ext>
              </c:extLst>
              <c:f>'Out Sample Forecast Summary'!$M$4:$M$12</c:f>
              <c:numCache>
                <c:formatCode>General</c:formatCode>
                <c:ptCount val="9"/>
                <c:pt idx="0">
                  <c:v>7.5840913658744569E-2</c:v>
                </c:pt>
                <c:pt idx="1">
                  <c:v>7.5947305596162806E-2</c:v>
                </c:pt>
                <c:pt idx="2">
                  <c:v>7.6450878588286031E-2</c:v>
                </c:pt>
                <c:pt idx="3">
                  <c:v>7.6232458988325646E-2</c:v>
                </c:pt>
                <c:pt idx="4">
                  <c:v>7.574348558922317E-2</c:v>
                </c:pt>
                <c:pt idx="5">
                  <c:v>7.5304550772418821E-2</c:v>
                </c:pt>
                <c:pt idx="6">
                  <c:v>7.4674661091940209E-2</c:v>
                </c:pt>
                <c:pt idx="7">
                  <c:v>7.4243921561519599E-2</c:v>
                </c:pt>
                <c:pt idx="8">
                  <c:v>7.3631832740062464E-2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40-4614-966A-C28F928C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84128"/>
        <c:axId val="1551380768"/>
      </c:areaChart>
      <c:lineChart>
        <c:grouping val="standard"/>
        <c:varyColors val="0"/>
        <c:ser>
          <c:idx val="0"/>
          <c:order val="0"/>
          <c:tx>
            <c:strRef>
              <c:f>'Out Sample Forecast Summary'!$B$2</c:f>
              <c:strCache>
                <c:ptCount val="1"/>
                <c:pt idx="0">
                  <c:v>Actual Price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Summary'!$B$3:$B$12</c15:sqref>
                  </c15:fullRef>
                </c:ext>
              </c:extLst>
              <c:f>'Out Sample Forecast Summary'!$B$4:$B$12</c:f>
              <c:numCache>
                <c:formatCode>General</c:formatCode>
                <c:ptCount val="9"/>
                <c:pt idx="0">
                  <c:v>9.8000000000000007</c:v>
                </c:pt>
                <c:pt idx="1">
                  <c:v>9.89</c:v>
                </c:pt>
                <c:pt idx="2">
                  <c:v>10</c:v>
                </c:pt>
                <c:pt idx="3">
                  <c:v>9.9499999999999993</c:v>
                </c:pt>
                <c:pt idx="4">
                  <c:v>9.89</c:v>
                </c:pt>
                <c:pt idx="5">
                  <c:v>9.9</c:v>
                </c:pt>
                <c:pt idx="6">
                  <c:v>9.8699999999999992</c:v>
                </c:pt>
                <c:pt idx="7">
                  <c:v>9.91</c:v>
                </c:pt>
                <c:pt idx="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7-4A0E-85FB-4FCE3C729E59}"/>
            </c:ext>
          </c:extLst>
        </c:ser>
        <c:ser>
          <c:idx val="8"/>
          <c:order val="8"/>
          <c:tx>
            <c:strRef>
              <c:f>'Out Sample Forecast Summary'!$J$2</c:f>
              <c:strCache>
                <c:ptCount val="1"/>
                <c:pt idx="0">
                  <c:v>Average Price (Rolling)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Summary'!$J$3:$J$12</c15:sqref>
                  </c15:fullRef>
                </c:ext>
              </c:extLst>
              <c:f>'Out Sample Forecast Summary'!$J$4:$J$12</c:f>
              <c:numCache>
                <c:formatCode>General</c:formatCode>
                <c:ptCount val="9"/>
                <c:pt idx="0">
                  <c:v>10.090769230769229</c:v>
                </c:pt>
                <c:pt idx="1">
                  <c:v>10.079038461538461</c:v>
                </c:pt>
                <c:pt idx="2">
                  <c:v>10.069423076923076</c:v>
                </c:pt>
                <c:pt idx="3">
                  <c:v>10.057692307692308</c:v>
                </c:pt>
                <c:pt idx="4">
                  <c:v>10.042884615384615</c:v>
                </c:pt>
                <c:pt idx="5">
                  <c:v>10.030576923076922</c:v>
                </c:pt>
                <c:pt idx="6">
                  <c:v>10.020384615384614</c:v>
                </c:pt>
                <c:pt idx="7">
                  <c:v>10.009038461538463</c:v>
                </c:pt>
                <c:pt idx="8">
                  <c:v>10.000769230769233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5897-4A0E-85FB-4FCE3C729E59}"/>
            </c:ext>
          </c:extLst>
        </c:ser>
        <c:ser>
          <c:idx val="9"/>
          <c:order val="9"/>
          <c:tx>
            <c:strRef>
              <c:f>'Out Sample Forecast Summary'!$N$2</c:f>
              <c:strCache>
                <c:ptCount val="1"/>
                <c:pt idx="0">
                  <c:v>Forecasted 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Summary'!$N$3:$N$12</c15:sqref>
                  </c15:fullRef>
                </c:ext>
              </c:extLst>
              <c:f>'Out Sample Forecast Summary'!$N$4:$N$12</c:f>
              <c:numCache>
                <c:formatCode>General</c:formatCode>
                <c:ptCount val="9"/>
                <c:pt idx="0">
                  <c:v>9.869825709302317</c:v>
                </c:pt>
                <c:pt idx="1">
                  <c:v>9.7996146455954101</c:v>
                </c:pt>
                <c:pt idx="2">
                  <c:v>9.8897738547130079</c:v>
                </c:pt>
                <c:pt idx="3">
                  <c:v>9.9997822698576826</c:v>
                </c:pt>
                <c:pt idx="4">
                  <c:v>9.9498009093690332</c:v>
                </c:pt>
                <c:pt idx="5">
                  <c:v>9.8896944206114039</c:v>
                </c:pt>
                <c:pt idx="6">
                  <c:v>9.8999353806062409</c:v>
                </c:pt>
                <c:pt idx="7">
                  <c:v>9.8697342189426269</c:v>
                </c:pt>
                <c:pt idx="8">
                  <c:v>9.9098474331315103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97-4A0E-85FB-4FCE3C729E59}"/>
            </c:ext>
          </c:extLst>
        </c:ser>
        <c:ser>
          <c:idx val="13"/>
          <c:order val="13"/>
          <c:tx>
            <c:strRef>
              <c:f>'Out Sample Forecast Summary'!$R$2</c:f>
              <c:strCache>
                <c:ptCount val="1"/>
                <c:pt idx="0">
                  <c:v>Forecasted Price (With Dividend)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Summary'!$R$3:$R$12</c15:sqref>
                  </c15:fullRef>
                </c:ext>
              </c:extLst>
              <c:f>'Out Sample Forecast Summary'!$R$4:$R$12</c:f>
              <c:numCache>
                <c:formatCode>General</c:formatCode>
                <c:ptCount val="9"/>
                <c:pt idx="0">
                  <c:v>9.8581624685135214</c:v>
                </c:pt>
                <c:pt idx="1">
                  <c:v>9.7882539586411674</c:v>
                </c:pt>
                <c:pt idx="2">
                  <c:v>9.8781998524091961</c:v>
                </c:pt>
                <c:pt idx="3">
                  <c:v>9.9880983320163619</c:v>
                </c:pt>
                <c:pt idx="4">
                  <c:v>9.9381108128875191</c:v>
                </c:pt>
                <c:pt idx="5">
                  <c:v>9.8781082933947602</c:v>
                </c:pt>
                <c:pt idx="6">
                  <c:v>9.8882030843109519</c:v>
                </c:pt>
                <c:pt idx="7">
                  <c:v>9.858239034228518</c:v>
                </c:pt>
                <c:pt idx="8">
                  <c:v>9.8981383934951328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97-4A0E-85FB-4FCE3C72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3951"/>
        <c:axId val="420451551"/>
        <c:extLst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'Out Sample Forecast Summary'!$P$2</c15:sqref>
                        </c15:formulaRef>
                      </c:ext>
                    </c:extLst>
                    <c:strCache>
                      <c:ptCount val="1"/>
                      <c:pt idx="0">
                        <c:v>Upper Limit (CI)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Summary'!$P$3:$P$12</c15:sqref>
                        </c15:fullRef>
                        <c15:formulaRef>
                          <c15:sqref>'Out Sample Forecast Summary'!$P$4:$P$12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9.8920844818466751</c:v>
                      </c:pt>
                      <c:pt idx="1">
                        <c:v>9.8253143501904869</c:v>
                      </c:pt>
                      <c:pt idx="2">
                        <c:v>9.918095122261839</c:v>
                      </c:pt>
                      <c:pt idx="3">
                        <c:v>10.026296557572467</c:v>
                      </c:pt>
                      <c:pt idx="4">
                        <c:v>9.973038623700031</c:v>
                      </c:pt>
                      <c:pt idx="5">
                        <c:v>9.9149628244989021</c:v>
                      </c:pt>
                      <c:pt idx="6">
                        <c:v>9.9269216107929932</c:v>
                      </c:pt>
                      <c:pt idx="7">
                        <c:v>9.8954194349659534</c:v>
                      </c:pt>
                      <c:pt idx="8">
                        <c:v>9.9383028740673343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5897-4A0E-85FB-4FCE3C729E59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Summary'!$S$2</c15:sqref>
                        </c15:formulaRef>
                      </c:ext>
                    </c:extLst>
                    <c:strCache>
                      <c:ptCount val="1"/>
                      <c:pt idx="0">
                        <c:v>Percentage Error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Summary'!$S$3:$S$12</c15:sqref>
                        </c15:fullRef>
                        <c15:formulaRef>
                          <c15:sqref>'Out Sample Forecast Summary'!$S$4:$S$12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-7.1250723777873714E-3</c:v>
                      </c:pt>
                      <c:pt idx="1">
                        <c:v>9.1390651571881185E-3</c:v>
                      </c:pt>
                      <c:pt idx="2">
                        <c:v>1.1022614528699215E-2</c:v>
                      </c:pt>
                      <c:pt idx="3">
                        <c:v>-5.0032432017772166E-3</c:v>
                      </c:pt>
                      <c:pt idx="4">
                        <c:v>-6.0466035762419207E-3</c:v>
                      </c:pt>
                      <c:pt idx="5">
                        <c:v>1.0409676150097415E-3</c:v>
                      </c:pt>
                      <c:pt idx="6">
                        <c:v>-3.0329666267722068E-3</c:v>
                      </c:pt>
                      <c:pt idx="7">
                        <c:v>4.0631464235492652E-3</c:v>
                      </c:pt>
                      <c:pt idx="8">
                        <c:v>2.0294629273403253E-3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897-4A0E-85FB-4FCE3C729E59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Summary'!$T$2</c15:sqref>
                        </c15:formulaRef>
                      </c:ext>
                    </c:extLst>
                    <c:strCache>
                      <c:ptCount val="1"/>
                      <c:pt idx="0">
                        <c:v>Percentage Error (Dividend)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Summary'!$T$3:$T$12</c15:sqref>
                        </c15:fullRef>
                        <c15:formulaRef>
                          <c15:sqref>'Out Sample Forecast Summary'!$T$4:$T$12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-5.9349457666857848E-3</c:v>
                      </c:pt>
                      <c:pt idx="1">
                        <c:v>1.028776960149981E-2</c:v>
                      </c:pt>
                      <c:pt idx="2">
                        <c:v>1.2180014759080393E-2</c:v>
                      </c:pt>
                      <c:pt idx="3">
                        <c:v>-3.8289780920967432E-3</c:v>
                      </c:pt>
                      <c:pt idx="4">
                        <c:v>-4.8645917985357433E-3</c:v>
                      </c:pt>
                      <c:pt idx="5">
                        <c:v>2.2112834954788082E-3</c:v>
                      </c:pt>
                      <c:pt idx="6">
                        <c:v>-1.8442841247165789E-3</c:v>
                      </c:pt>
                      <c:pt idx="7">
                        <c:v>5.2231045178084915E-3</c:v>
                      </c:pt>
                      <c:pt idx="8">
                        <c:v>3.2086209974689743E-3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897-4A0E-85FB-4FCE3C729E59}"/>
                  </c:ext>
                </c:extLst>
              </c15:ser>
            </c15:filteredLineSeries>
          </c:ext>
        </c:extLst>
      </c:lineChart>
      <c:catAx>
        <c:axId val="420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1551"/>
        <c:crosses val="autoZero"/>
        <c:auto val="1"/>
        <c:lblAlgn val="ctr"/>
        <c:lblOffset val="100"/>
        <c:noMultiLvlLbl val="0"/>
      </c:catAx>
      <c:valAx>
        <c:axId val="420451551"/>
        <c:scaling>
          <c:orientation val="minMax"/>
          <c:max val="10.15"/>
          <c:min val="9.75000000000000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3951"/>
        <c:crosses val="autoZero"/>
        <c:crossBetween val="between"/>
      </c:valAx>
      <c:valAx>
        <c:axId val="1551380768"/>
        <c:scaling>
          <c:orientation val="minMax"/>
          <c:max val="10.15"/>
          <c:min val="9.75"/>
        </c:scaling>
        <c:delete val="1"/>
        <c:axPos val="r"/>
        <c:numFmt formatCode="General" sourceLinked="1"/>
        <c:majorTickMark val="out"/>
        <c:minorTickMark val="none"/>
        <c:tickLblPos val="nextTo"/>
        <c:crossAx val="1551384128"/>
        <c:crosses val="max"/>
        <c:crossBetween val="between"/>
      </c:valAx>
      <c:catAx>
        <c:axId val="155138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5138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669776272664667"/>
          <c:y val="0.84781259174430146"/>
          <c:w val="0.71478424226885939"/>
          <c:h val="0.1182705810094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Actual Price VS Forecasted Price</a:t>
            </a:r>
            <a:endParaRPr lang="en-MY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0.11030361843898343"/>
          <c:y val="0.13195575879680779"/>
          <c:w val="0.85459527394141988"/>
          <c:h val="0.59221913077386812"/>
        </c:manualLayout>
      </c:layout>
      <c:areaChart>
        <c:grouping val="stacked"/>
        <c:varyColors val="0"/>
        <c:ser>
          <c:idx val="10"/>
          <c:order val="10"/>
          <c:tx>
            <c:strRef>
              <c:f>'Out Sample Forecast Summary'!$O$2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Summary'!$O$3:$O$12</c15:sqref>
                  </c15:fullRef>
                </c:ext>
              </c:extLst>
              <c:f>'Out Sample Forecast Summary'!$O$4:$O$12</c:f>
              <c:numCache>
                <c:formatCode>General</c:formatCode>
                <c:ptCount val="9"/>
                <c:pt idx="0">
                  <c:v>9.817904151058455</c:v>
                </c:pt>
                <c:pt idx="1">
                  <c:v>9.7514725515850209</c:v>
                </c:pt>
                <c:pt idx="2">
                  <c:v>9.8430082086962507</c:v>
                </c:pt>
                <c:pt idx="3">
                  <c:v>9.9505030287531291</c:v>
                </c:pt>
                <c:pt idx="4">
                  <c:v>9.89799717588334</c:v>
                </c:pt>
                <c:pt idx="5">
                  <c:v>9.8407159490368077</c:v>
                </c:pt>
                <c:pt idx="6">
                  <c:v>9.8531445705141358</c:v>
                </c:pt>
                <c:pt idx="7">
                  <c:v>9.8222088287723608</c:v>
                </c:pt>
                <c:pt idx="8">
                  <c:v>9.865340463692851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1-4E9D-8F62-895A50BEBD13}"/>
            </c:ext>
          </c:extLst>
        </c:ser>
        <c:ser>
          <c:idx val="12"/>
          <c:order val="12"/>
          <c:tx>
            <c:strRef>
              <c:f>'Out Sample Forecast Summary'!$Q$2</c:f>
              <c:strCache>
                <c:ptCount val="1"/>
                <c:pt idx="0">
                  <c:v>Confidence Interval (Forecasted Price)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4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Summary'!$Q$3:$Q$12</c15:sqref>
                  </c15:fullRef>
                </c:ext>
              </c:extLst>
              <c:f>'Out Sample Forecast Summary'!$Q$4:$Q$12</c:f>
              <c:numCache>
                <c:formatCode>General</c:formatCode>
                <c:ptCount val="9"/>
                <c:pt idx="0">
                  <c:v>7.4180330788220061E-2</c:v>
                </c:pt>
                <c:pt idx="1">
                  <c:v>7.3841798605466025E-2</c:v>
                </c:pt>
                <c:pt idx="2">
                  <c:v>7.5086913565588276E-2</c:v>
                </c:pt>
                <c:pt idx="3">
                  <c:v>7.5793528819337652E-2</c:v>
                </c:pt>
                <c:pt idx="4">
                  <c:v>7.5041447816690976E-2</c:v>
                </c:pt>
                <c:pt idx="5">
                  <c:v>7.4246875462094408E-2</c:v>
                </c:pt>
                <c:pt idx="6">
                  <c:v>7.3777040278857342E-2</c:v>
                </c:pt>
                <c:pt idx="7">
                  <c:v>7.3210606193592653E-2</c:v>
                </c:pt>
                <c:pt idx="8">
                  <c:v>7.2962410374483255E-2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1-4E9D-8F62-895A50BE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53951"/>
        <c:axId val="420451551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 Sample Forecast Summary'!$C$2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Summary'!$C$3:$C$12</c15:sqref>
                        </c15:fullRef>
                        <c15:formulaRef>
                          <c15:sqref>'Out Sample Forecast Summary'!$C$4:$C$12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33.54</c:v>
                      </c:pt>
                      <c:pt idx="1">
                        <c:v>50.26</c:v>
                      </c:pt>
                      <c:pt idx="2">
                        <c:v>54.95</c:v>
                      </c:pt>
                      <c:pt idx="3">
                        <c:v>37.35</c:v>
                      </c:pt>
                      <c:pt idx="4">
                        <c:v>53.41</c:v>
                      </c:pt>
                      <c:pt idx="5">
                        <c:v>43.01</c:v>
                      </c:pt>
                      <c:pt idx="6">
                        <c:v>47.13</c:v>
                      </c:pt>
                      <c:pt idx="7">
                        <c:v>56.07</c:v>
                      </c:pt>
                      <c:pt idx="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291-4E9D-8F62-895A50BEBD13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Summary'!$D$2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Summary'!$D$3:$D$12</c15:sqref>
                        </c15:fullRef>
                        <c15:formulaRef>
                          <c15:sqref>'Out Sample Forecast Summary'!$D$4:$D$12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-7.1000000000000004E-3</c:v>
                      </c:pt>
                      <c:pt idx="1">
                        <c:v>9.1999999999999998E-3</c:v>
                      </c:pt>
                      <c:pt idx="2">
                        <c:v>1.11E-2</c:v>
                      </c:pt>
                      <c:pt idx="3">
                        <c:v>-5.0000000000000001E-3</c:v>
                      </c:pt>
                      <c:pt idx="4">
                        <c:v>-6.0000000000000001E-3</c:v>
                      </c:pt>
                      <c:pt idx="5">
                        <c:v>1E-3</c:v>
                      </c:pt>
                      <c:pt idx="6">
                        <c:v>-3.0000000000000001E-3</c:v>
                      </c:pt>
                      <c:pt idx="7">
                        <c:v>4.1000000000000003E-3</c:v>
                      </c:pt>
                      <c:pt idx="8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291-4E9D-8F62-895A50BEBD13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Summary'!$E$2</c15:sqref>
                        </c15:formulaRef>
                      </c:ext>
                    </c:extLst>
                    <c:strCache>
                      <c:ptCount val="1"/>
                      <c:pt idx="0">
                        <c:v>Weekly Log Return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Summary'!$E$3:$E$12</c15:sqref>
                        </c15:fullRef>
                        <c15:formulaRef>
                          <c15:sqref>'Out Sample Forecast Summary'!$E$4:$E$12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-7.1174677688638785E-3</c:v>
                      </c:pt>
                      <c:pt idx="1">
                        <c:v>9.1417599580945093E-3</c:v>
                      </c:pt>
                      <c:pt idx="2">
                        <c:v>1.1060947359424976E-2</c:v>
                      </c:pt>
                      <c:pt idx="3">
                        <c:v>-5.0125418235443982E-3</c:v>
                      </c:pt>
                      <c:pt idx="4">
                        <c:v>-6.0484055358804812E-3</c:v>
                      </c:pt>
                      <c:pt idx="5">
                        <c:v>1.0106115059234598E-3</c:v>
                      </c:pt>
                      <c:pt idx="6">
                        <c:v>-3.0349036951541584E-3</c:v>
                      </c:pt>
                      <c:pt idx="7">
                        <c:v>4.0444948965064438E-3</c:v>
                      </c:pt>
                      <c:pt idx="8">
                        <c:v>2.0161297151844956E-3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291-4E9D-8F62-895A50BEBD13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Summary'!$F$2</c15:sqref>
                        </c15:formulaRef>
                      </c:ext>
                    </c:extLst>
                    <c:strCache>
                      <c:ptCount val="1"/>
                      <c:pt idx="0">
                        <c:v>Raw Drift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Summary'!$F$3:$F$12</c15:sqref>
                        </c15:fullRef>
                        <c15:formulaRef>
                          <c15:sqref>'Out Sample Forecast Summary'!$F$4:$F$12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-1.5090695277210678E-3</c:v>
                      </c:pt>
                      <c:pt idx="1">
                        <c:v>-1.1509829140164862E-3</c:v>
                      </c:pt>
                      <c:pt idx="2">
                        <c:v>-9.3827238787369831E-4</c:v>
                      </c:pt>
                      <c:pt idx="3">
                        <c:v>-1.1442447520695097E-3</c:v>
                      </c:pt>
                      <c:pt idx="4">
                        <c:v>-1.4418129442899633E-3</c:v>
                      </c:pt>
                      <c:pt idx="5">
                        <c:v>-1.2046689610129291E-3</c:v>
                      </c:pt>
                      <c:pt idx="6">
                        <c:v>-1.0058837058064861E-3</c:v>
                      </c:pt>
                      <c:pt idx="7">
                        <c:v>-1.1121328619534904E-3</c:v>
                      </c:pt>
                      <c:pt idx="8">
                        <c:v>-8.1522613027415827E-4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291-4E9D-8F62-895A50BEBD13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Summary'!$G$2</c15:sqref>
                        </c15:formulaRef>
                      </c:ext>
                    </c:extLst>
                    <c:strCache>
                      <c:ptCount val="1"/>
                      <c:pt idx="0">
                        <c:v>Volatility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Summary'!$G$3:$G$12</c15:sqref>
                        </c15:fullRef>
                        <c15:formulaRef>
                          <c15:sqref>'Out Sample Forecast Summary'!$G$4:$G$12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1.3846819876785642E-2</c:v>
                      </c:pt>
                      <c:pt idx="1">
                        <c:v>1.3877412993345967E-2</c:v>
                      </c:pt>
                      <c:pt idx="2">
                        <c:v>1.3979793443020059E-2</c:v>
                      </c:pt>
                      <c:pt idx="3">
                        <c:v>1.3958986886799286E-2</c:v>
                      </c:pt>
                      <c:pt idx="4">
                        <c:v>1.3894034207366939E-2</c:v>
                      </c:pt>
                      <c:pt idx="5">
                        <c:v>1.3827188110071628E-2</c:v>
                      </c:pt>
                      <c:pt idx="6">
                        <c:v>1.3722748458417961E-2</c:v>
                      </c:pt>
                      <c:pt idx="7">
                        <c:v>1.3660510343812229E-2</c:v>
                      </c:pt>
                      <c:pt idx="8">
                        <c:v>1.3555066178580752E-2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291-4E9D-8F62-895A50BEBD13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Summary'!$H$2</c15:sqref>
                        </c15:formulaRef>
                      </c:ext>
                    </c:extLst>
                    <c:strCache>
                      <c:ptCount val="1"/>
                      <c:pt idx="0">
                        <c:v>Annualised Volatility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Summary'!$H$3:$H$12</c15:sqref>
                        </c15:fullRef>
                        <c15:formulaRef>
                          <c15:sqref>'Out Sample Forecast Summary'!$H$4:$H$12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1.9202084256870998E-3</c:v>
                      </c:pt>
                      <c:pt idx="1">
                        <c:v>1.9244509276268881E-3</c:v>
                      </c:pt>
                      <c:pt idx="2">
                        <c:v>1.9386485415078497E-3</c:v>
                      </c:pt>
                      <c:pt idx="3">
                        <c:v>1.9357631913032411E-3</c:v>
                      </c:pt>
                      <c:pt idx="4">
                        <c:v>1.9267558752966219E-3</c:v>
                      </c:pt>
                      <c:pt idx="5">
                        <c:v>1.9174859894749718E-3</c:v>
                      </c:pt>
                      <c:pt idx="6">
                        <c:v>1.9030028156584761E-3</c:v>
                      </c:pt>
                      <c:pt idx="7">
                        <c:v>1.8943719420623541E-3</c:v>
                      </c:pt>
                      <c:pt idx="8">
                        <c:v>1.8797494672761776E-3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291-4E9D-8F62-895A50BEBD13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Summary'!$I$2</c15:sqref>
                        </c15:formulaRef>
                      </c:ext>
                    </c:extLst>
                    <c:strCache>
                      <c:ptCount val="1"/>
                      <c:pt idx="0">
                        <c:v>Market Drift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Summary'!$I$3:$I$12</c15:sqref>
                        </c15:fullRef>
                        <c15:formulaRef>
                          <c15:sqref>'Out Sample Forecast Summary'!$I$4:$I$12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-1.5109131279201077E-3</c:v>
                      </c:pt>
                      <c:pt idx="1">
                        <c:v>-1.1528346697029083E-3</c:v>
                      </c:pt>
                      <c:pt idx="2">
                        <c:v>-9.4015156695744352E-4</c:v>
                      </c:pt>
                      <c:pt idx="3">
                        <c:v>-1.1461183416359121E-3</c:v>
                      </c:pt>
                      <c:pt idx="4">
                        <c:v>-1.4436691383914583E-3</c:v>
                      </c:pt>
                      <c:pt idx="5">
                        <c:v>-1.2065073372728454E-3</c:v>
                      </c:pt>
                      <c:pt idx="6">
                        <c:v>-1.0076944156646882E-3</c:v>
                      </c:pt>
                      <c:pt idx="7">
                        <c:v>-1.1139271844809269E-3</c:v>
                      </c:pt>
                      <c:pt idx="8">
                        <c:v>-8.1699285930402084E-4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291-4E9D-8F62-895A50BEBD13}"/>
                  </c:ext>
                </c:extLst>
              </c15:ser>
            </c15:filteredAreaSeries>
          </c:ext>
        </c:extLst>
      </c:areaChar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51384128"/>
        <c:axId val="1551380768"/>
        <c:extLst>
          <c:ext xmlns:c15="http://schemas.microsoft.com/office/drawing/2012/chart" uri="{02D57815-91ED-43cb-92C2-25804820EDAC}">
            <c15:filteredAreaSeries>
              <c15:ser>
                <c:idx val="16"/>
                <c:order val="16"/>
                <c:tx>
                  <c:strRef>
                    <c:extLst>
                      <c:ext uri="{02D57815-91ED-43cb-92C2-25804820EDAC}">
                        <c15:formulaRef>
                          <c15:sqref>'Out Sample Forecast Summary'!$K$2</c15:sqref>
                        </c15:formulaRef>
                      </c:ext>
                    </c:extLst>
                    <c:strCache>
                      <c:ptCount val="1"/>
                      <c:pt idx="0">
                        <c:v>Lower Limit (CI)</c:v>
                      </c:pt>
                    </c:strCache>
                  </c:strRef>
                </c:tx>
                <c:spPr>
                  <a:noFill/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ullRef>
                          <c15:sqref>'Out Sample Forecast Summary'!$K$3:$K$12</c15:sqref>
                        </c15:fullRef>
                        <c15:formulaRef>
                          <c15:sqref>'Out Sample Forecast Summary'!$K$4:$K$12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10.037685369131536</c:v>
                      </c:pt>
                      <c:pt idx="1">
                        <c:v>10.029523655630475</c:v>
                      </c:pt>
                      <c:pt idx="2">
                        <c:v>10.021807925947309</c:v>
                      </c:pt>
                      <c:pt idx="3">
                        <c:v>10.008127684102435</c:v>
                      </c:pt>
                      <c:pt idx="4">
                        <c:v>9.9905962406943178</c:v>
                      </c:pt>
                      <c:pt idx="5">
                        <c:v>9.9809007343283778</c:v>
                      </c:pt>
                      <c:pt idx="6">
                        <c:v>9.9730245170038909</c:v>
                      </c:pt>
                      <c:pt idx="7">
                        <c:v>9.9608422844619966</c:v>
                      </c:pt>
                      <c:pt idx="8">
                        <c:v>9.9558539146132237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291-4E9D-8F62-895A50BEBD13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Summary'!$M$2</c15:sqref>
                        </c15:formulaRef>
                      </c:ext>
                    </c:extLst>
                    <c:strCache>
                      <c:ptCount val="1"/>
                      <c:pt idx="0">
                        <c:v>Confidence Interval (Avg Price)</c:v>
                      </c:pt>
                    </c:strCache>
                  </c:strRef>
                </c:tx>
                <c:spPr>
                  <a:solidFill>
                    <a:srgbClr val="CFAFE7">
                      <a:alpha val="77000"/>
                    </a:srgbClr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Summary'!$M$3:$M$12</c15:sqref>
                        </c15:fullRef>
                        <c15:formulaRef>
                          <c15:sqref>'Out Sample Forecast Summary'!$M$4:$M$12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7.5840913658744569E-2</c:v>
                      </c:pt>
                      <c:pt idx="1">
                        <c:v>7.5947305596162806E-2</c:v>
                      </c:pt>
                      <c:pt idx="2">
                        <c:v>7.6450878588286031E-2</c:v>
                      </c:pt>
                      <c:pt idx="3">
                        <c:v>7.6232458988325646E-2</c:v>
                      </c:pt>
                      <c:pt idx="4">
                        <c:v>7.574348558922317E-2</c:v>
                      </c:pt>
                      <c:pt idx="5">
                        <c:v>7.5304550772418821E-2</c:v>
                      </c:pt>
                      <c:pt idx="6">
                        <c:v>7.4674661091940209E-2</c:v>
                      </c:pt>
                      <c:pt idx="7">
                        <c:v>7.4243921561519599E-2</c:v>
                      </c:pt>
                      <c:pt idx="8">
                        <c:v>7.3631832740062464E-2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291-4E9D-8F62-895A50BEBD13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'Out Sample Forecast Summary'!$B$2</c:f>
              <c:strCache>
                <c:ptCount val="1"/>
                <c:pt idx="0">
                  <c:v>Actual Price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Summary'!$B$3:$B$12</c15:sqref>
                  </c15:fullRef>
                </c:ext>
              </c:extLst>
              <c:f>'Out Sample Forecast Summary'!$B$4:$B$12</c:f>
              <c:numCache>
                <c:formatCode>General</c:formatCode>
                <c:ptCount val="9"/>
                <c:pt idx="0">
                  <c:v>9.8000000000000007</c:v>
                </c:pt>
                <c:pt idx="1">
                  <c:v>9.89</c:v>
                </c:pt>
                <c:pt idx="2">
                  <c:v>10</c:v>
                </c:pt>
                <c:pt idx="3">
                  <c:v>9.9499999999999993</c:v>
                </c:pt>
                <c:pt idx="4">
                  <c:v>9.89</c:v>
                </c:pt>
                <c:pt idx="5">
                  <c:v>9.9</c:v>
                </c:pt>
                <c:pt idx="6">
                  <c:v>9.8699999999999992</c:v>
                </c:pt>
                <c:pt idx="7">
                  <c:v>9.91</c:v>
                </c:pt>
                <c:pt idx="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1-4E9D-8F62-895A50BEBD13}"/>
            </c:ext>
          </c:extLst>
        </c:ser>
        <c:ser>
          <c:idx val="9"/>
          <c:order val="9"/>
          <c:tx>
            <c:strRef>
              <c:f>'Out Sample Forecast Summary'!$N$2</c:f>
              <c:strCache>
                <c:ptCount val="1"/>
                <c:pt idx="0">
                  <c:v>Forecasted 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Summary'!$N$3:$N$12</c15:sqref>
                  </c15:fullRef>
                </c:ext>
              </c:extLst>
              <c:f>'Out Sample Forecast Summary'!$N$4:$N$12</c:f>
              <c:numCache>
                <c:formatCode>General</c:formatCode>
                <c:ptCount val="9"/>
                <c:pt idx="0">
                  <c:v>9.869825709302317</c:v>
                </c:pt>
                <c:pt idx="1">
                  <c:v>9.7996146455954101</c:v>
                </c:pt>
                <c:pt idx="2">
                  <c:v>9.8897738547130079</c:v>
                </c:pt>
                <c:pt idx="3">
                  <c:v>9.9997822698576826</c:v>
                </c:pt>
                <c:pt idx="4">
                  <c:v>9.9498009093690332</c:v>
                </c:pt>
                <c:pt idx="5">
                  <c:v>9.8896944206114039</c:v>
                </c:pt>
                <c:pt idx="6">
                  <c:v>9.8999353806062409</c:v>
                </c:pt>
                <c:pt idx="7">
                  <c:v>9.8697342189426269</c:v>
                </c:pt>
                <c:pt idx="8">
                  <c:v>9.9098474331315103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91-4E9D-8F62-895A50BE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3951"/>
        <c:axId val="420451551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'Out Sample Forecast Summary'!$J$2</c15:sqref>
                        </c15:formulaRef>
                      </c:ext>
                    </c:extLst>
                    <c:strCache>
                      <c:ptCount val="1"/>
                      <c:pt idx="0">
                        <c:v>Average Price (Rolling)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Summary'!$J$3:$J$12</c15:sqref>
                        </c15:fullRef>
                        <c15:formulaRef>
                          <c15:sqref>'Out Sample Forecast Summary'!$J$4:$J$12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10.090769230769229</c:v>
                      </c:pt>
                      <c:pt idx="1">
                        <c:v>10.079038461538461</c:v>
                      </c:pt>
                      <c:pt idx="2">
                        <c:v>10.069423076923076</c:v>
                      </c:pt>
                      <c:pt idx="3">
                        <c:v>10.057692307692308</c:v>
                      </c:pt>
                      <c:pt idx="4">
                        <c:v>10.042884615384615</c:v>
                      </c:pt>
                      <c:pt idx="5">
                        <c:v>10.030576923076922</c:v>
                      </c:pt>
                      <c:pt idx="6">
                        <c:v>10.020384615384614</c:v>
                      </c:pt>
                      <c:pt idx="7">
                        <c:v>10.009038461538463</c:v>
                      </c:pt>
                      <c:pt idx="8">
                        <c:v>10.000769230769233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291-4E9D-8F62-895A50BEBD1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Summary'!$P$2</c15:sqref>
                        </c15:formulaRef>
                      </c:ext>
                    </c:extLst>
                    <c:strCache>
                      <c:ptCount val="1"/>
                      <c:pt idx="0">
                        <c:v>Upper Limit (CI)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Summary'!$P$3:$P$12</c15:sqref>
                        </c15:fullRef>
                        <c15:formulaRef>
                          <c15:sqref>'Out Sample Forecast Summary'!$P$4:$P$12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9.8920844818466751</c:v>
                      </c:pt>
                      <c:pt idx="1">
                        <c:v>9.8253143501904869</c:v>
                      </c:pt>
                      <c:pt idx="2">
                        <c:v>9.918095122261839</c:v>
                      </c:pt>
                      <c:pt idx="3">
                        <c:v>10.026296557572467</c:v>
                      </c:pt>
                      <c:pt idx="4">
                        <c:v>9.973038623700031</c:v>
                      </c:pt>
                      <c:pt idx="5">
                        <c:v>9.9149628244989021</c:v>
                      </c:pt>
                      <c:pt idx="6">
                        <c:v>9.9269216107929932</c:v>
                      </c:pt>
                      <c:pt idx="7">
                        <c:v>9.8954194349659534</c:v>
                      </c:pt>
                      <c:pt idx="8">
                        <c:v>9.9383028740673343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291-4E9D-8F62-895A50BEBD13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Summary'!$R$2</c15:sqref>
                        </c15:formulaRef>
                      </c:ext>
                    </c:extLst>
                    <c:strCache>
                      <c:ptCount val="1"/>
                      <c:pt idx="0">
                        <c:v>Forecasted Price (With Dividend)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Summary'!$R$3:$R$12</c15:sqref>
                        </c15:fullRef>
                        <c15:formulaRef>
                          <c15:sqref>'Out Sample Forecast Summary'!$R$4:$R$12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9.8581624685135214</c:v>
                      </c:pt>
                      <c:pt idx="1">
                        <c:v>9.7882539586411674</c:v>
                      </c:pt>
                      <c:pt idx="2">
                        <c:v>9.8781998524091961</c:v>
                      </c:pt>
                      <c:pt idx="3">
                        <c:v>9.9880983320163619</c:v>
                      </c:pt>
                      <c:pt idx="4">
                        <c:v>9.9381108128875191</c:v>
                      </c:pt>
                      <c:pt idx="5">
                        <c:v>9.8781082933947602</c:v>
                      </c:pt>
                      <c:pt idx="6">
                        <c:v>9.8882030843109519</c:v>
                      </c:pt>
                      <c:pt idx="7">
                        <c:v>9.858239034228518</c:v>
                      </c:pt>
                      <c:pt idx="8">
                        <c:v>9.8981383934951328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291-4E9D-8F62-895A50BEBD13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Summary'!$S$2</c15:sqref>
                        </c15:formulaRef>
                      </c:ext>
                    </c:extLst>
                    <c:strCache>
                      <c:ptCount val="1"/>
                      <c:pt idx="0">
                        <c:v>Percentage Error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Summary'!$S$3:$S$12</c15:sqref>
                        </c15:fullRef>
                        <c15:formulaRef>
                          <c15:sqref>'Out Sample Forecast Summary'!$S$4:$S$12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-7.1250723777873714E-3</c:v>
                      </c:pt>
                      <c:pt idx="1">
                        <c:v>9.1390651571881185E-3</c:v>
                      </c:pt>
                      <c:pt idx="2">
                        <c:v>1.1022614528699215E-2</c:v>
                      </c:pt>
                      <c:pt idx="3">
                        <c:v>-5.0032432017772166E-3</c:v>
                      </c:pt>
                      <c:pt idx="4">
                        <c:v>-6.0466035762419207E-3</c:v>
                      </c:pt>
                      <c:pt idx="5">
                        <c:v>1.0409676150097415E-3</c:v>
                      </c:pt>
                      <c:pt idx="6">
                        <c:v>-3.0329666267722068E-3</c:v>
                      </c:pt>
                      <c:pt idx="7">
                        <c:v>4.0631464235492652E-3</c:v>
                      </c:pt>
                      <c:pt idx="8">
                        <c:v>2.0294629273403253E-3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291-4E9D-8F62-895A50BEBD13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Summary'!$T$2</c15:sqref>
                        </c15:formulaRef>
                      </c:ext>
                    </c:extLst>
                    <c:strCache>
                      <c:ptCount val="1"/>
                      <c:pt idx="0">
                        <c:v>Percentage Error (Dividend)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Summary'!$T$3:$T$12</c15:sqref>
                        </c15:fullRef>
                        <c15:formulaRef>
                          <c15:sqref>'Out Sample Forecast Summary'!$T$4:$T$12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-5.9349457666857848E-3</c:v>
                      </c:pt>
                      <c:pt idx="1">
                        <c:v>1.028776960149981E-2</c:v>
                      </c:pt>
                      <c:pt idx="2">
                        <c:v>1.2180014759080393E-2</c:v>
                      </c:pt>
                      <c:pt idx="3">
                        <c:v>-3.8289780920967432E-3</c:v>
                      </c:pt>
                      <c:pt idx="4">
                        <c:v>-4.8645917985357433E-3</c:v>
                      </c:pt>
                      <c:pt idx="5">
                        <c:v>2.2112834954788082E-3</c:v>
                      </c:pt>
                      <c:pt idx="6">
                        <c:v>-1.8442841247165789E-3</c:v>
                      </c:pt>
                      <c:pt idx="7">
                        <c:v>5.2231045178084915E-3</c:v>
                      </c:pt>
                      <c:pt idx="8">
                        <c:v>3.2086209974689743E-3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291-4E9D-8F62-895A50BEBD13}"/>
                  </c:ext>
                </c:extLst>
              </c15:ser>
            </c15:filteredLineSeries>
          </c:ext>
        </c:extLst>
      </c:lineChart>
      <c:catAx>
        <c:axId val="420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1551"/>
        <c:crosses val="autoZero"/>
        <c:auto val="1"/>
        <c:lblAlgn val="ctr"/>
        <c:lblOffset val="100"/>
        <c:noMultiLvlLbl val="0"/>
      </c:catAx>
      <c:valAx>
        <c:axId val="420451551"/>
        <c:scaling>
          <c:orientation val="minMax"/>
          <c:max val="10.050000000000001"/>
          <c:min val="9.75000000000000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3951"/>
        <c:crosses val="autoZero"/>
        <c:crossBetween val="between"/>
      </c:valAx>
      <c:valAx>
        <c:axId val="1551380768"/>
        <c:scaling>
          <c:orientation val="minMax"/>
          <c:max val="10.15"/>
          <c:min val="9.75"/>
        </c:scaling>
        <c:delete val="1"/>
        <c:axPos val="r"/>
        <c:numFmt formatCode="General" sourceLinked="1"/>
        <c:majorTickMark val="out"/>
        <c:minorTickMark val="none"/>
        <c:tickLblPos val="nextTo"/>
        <c:crossAx val="1551384128"/>
        <c:crosses val="max"/>
        <c:crossBetween val="between"/>
      </c:valAx>
      <c:catAx>
        <c:axId val="155138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5138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4257646602409338"/>
          <c:y val="0.84781257699616752"/>
          <c:w val="0.71478424226885939"/>
          <c:h val="0.1182705810094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aseline="0"/>
              <a:t>Actual Price VS Forecasted Price with 1 Year Average Price 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361843898343"/>
          <c:y val="0.13195575879680779"/>
          <c:w val="0.85459527394141988"/>
          <c:h val="0.59221913077386812"/>
        </c:manualLayout>
      </c:layou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20453951"/>
        <c:axId val="420451551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 Sample Forecast Summary'!$C$2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Summary'!$C$3:$C$12</c15:sqref>
                        </c15:fullRef>
                        <c15:formulaRef>
                          <c15:sqref>'Out Sample Forecast Summary'!$C$4:$C$12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33.54</c:v>
                      </c:pt>
                      <c:pt idx="1">
                        <c:v>50.26</c:v>
                      </c:pt>
                      <c:pt idx="2">
                        <c:v>54.95</c:v>
                      </c:pt>
                      <c:pt idx="3">
                        <c:v>37.35</c:v>
                      </c:pt>
                      <c:pt idx="4">
                        <c:v>53.41</c:v>
                      </c:pt>
                      <c:pt idx="5">
                        <c:v>43.01</c:v>
                      </c:pt>
                      <c:pt idx="6">
                        <c:v>47.13</c:v>
                      </c:pt>
                      <c:pt idx="7">
                        <c:v>56.07</c:v>
                      </c:pt>
                      <c:pt idx="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A3E-416D-803B-6AE4A46694E9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Summary'!$D$2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Summary'!$D$3:$D$12</c15:sqref>
                        </c15:fullRef>
                        <c15:formulaRef>
                          <c15:sqref>'Out Sample Forecast Summary'!$D$4:$D$12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-7.1000000000000004E-3</c:v>
                      </c:pt>
                      <c:pt idx="1">
                        <c:v>9.1999999999999998E-3</c:v>
                      </c:pt>
                      <c:pt idx="2">
                        <c:v>1.11E-2</c:v>
                      </c:pt>
                      <c:pt idx="3">
                        <c:v>-5.0000000000000001E-3</c:v>
                      </c:pt>
                      <c:pt idx="4">
                        <c:v>-6.0000000000000001E-3</c:v>
                      </c:pt>
                      <c:pt idx="5">
                        <c:v>1E-3</c:v>
                      </c:pt>
                      <c:pt idx="6">
                        <c:v>-3.0000000000000001E-3</c:v>
                      </c:pt>
                      <c:pt idx="7">
                        <c:v>4.1000000000000003E-3</c:v>
                      </c:pt>
                      <c:pt idx="8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A3E-416D-803B-6AE4A46694E9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Summary'!$E$2</c15:sqref>
                        </c15:formulaRef>
                      </c:ext>
                    </c:extLst>
                    <c:strCache>
                      <c:ptCount val="1"/>
                      <c:pt idx="0">
                        <c:v>Weekly Log Return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Summary'!$E$3:$E$12</c15:sqref>
                        </c15:fullRef>
                        <c15:formulaRef>
                          <c15:sqref>'Out Sample Forecast Summary'!$E$4:$E$12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-7.1174677688638785E-3</c:v>
                      </c:pt>
                      <c:pt idx="1">
                        <c:v>9.1417599580945093E-3</c:v>
                      </c:pt>
                      <c:pt idx="2">
                        <c:v>1.1060947359424976E-2</c:v>
                      </c:pt>
                      <c:pt idx="3">
                        <c:v>-5.0125418235443982E-3</c:v>
                      </c:pt>
                      <c:pt idx="4">
                        <c:v>-6.0484055358804812E-3</c:v>
                      </c:pt>
                      <c:pt idx="5">
                        <c:v>1.0106115059234598E-3</c:v>
                      </c:pt>
                      <c:pt idx="6">
                        <c:v>-3.0349036951541584E-3</c:v>
                      </c:pt>
                      <c:pt idx="7">
                        <c:v>4.0444948965064438E-3</c:v>
                      </c:pt>
                      <c:pt idx="8">
                        <c:v>2.0161297151844956E-3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A3E-416D-803B-6AE4A46694E9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Summary'!$F$2</c15:sqref>
                        </c15:formulaRef>
                      </c:ext>
                    </c:extLst>
                    <c:strCache>
                      <c:ptCount val="1"/>
                      <c:pt idx="0">
                        <c:v>Raw Drift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Summary'!$F$3:$F$12</c15:sqref>
                        </c15:fullRef>
                        <c15:formulaRef>
                          <c15:sqref>'Out Sample Forecast Summary'!$F$4:$F$12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-1.5090695277210678E-3</c:v>
                      </c:pt>
                      <c:pt idx="1">
                        <c:v>-1.1509829140164862E-3</c:v>
                      </c:pt>
                      <c:pt idx="2">
                        <c:v>-9.3827238787369831E-4</c:v>
                      </c:pt>
                      <c:pt idx="3">
                        <c:v>-1.1442447520695097E-3</c:v>
                      </c:pt>
                      <c:pt idx="4">
                        <c:v>-1.4418129442899633E-3</c:v>
                      </c:pt>
                      <c:pt idx="5">
                        <c:v>-1.2046689610129291E-3</c:v>
                      </c:pt>
                      <c:pt idx="6">
                        <c:v>-1.0058837058064861E-3</c:v>
                      </c:pt>
                      <c:pt idx="7">
                        <c:v>-1.1121328619534904E-3</c:v>
                      </c:pt>
                      <c:pt idx="8">
                        <c:v>-8.1522613027415827E-4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A3E-416D-803B-6AE4A46694E9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Summary'!$G$2</c15:sqref>
                        </c15:formulaRef>
                      </c:ext>
                    </c:extLst>
                    <c:strCache>
                      <c:ptCount val="1"/>
                      <c:pt idx="0">
                        <c:v>Volatility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Summary'!$G$3:$G$12</c15:sqref>
                        </c15:fullRef>
                        <c15:formulaRef>
                          <c15:sqref>'Out Sample Forecast Summary'!$G$4:$G$12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1.3846819876785642E-2</c:v>
                      </c:pt>
                      <c:pt idx="1">
                        <c:v>1.3877412993345967E-2</c:v>
                      </c:pt>
                      <c:pt idx="2">
                        <c:v>1.3979793443020059E-2</c:v>
                      </c:pt>
                      <c:pt idx="3">
                        <c:v>1.3958986886799286E-2</c:v>
                      </c:pt>
                      <c:pt idx="4">
                        <c:v>1.3894034207366939E-2</c:v>
                      </c:pt>
                      <c:pt idx="5">
                        <c:v>1.3827188110071628E-2</c:v>
                      </c:pt>
                      <c:pt idx="6">
                        <c:v>1.3722748458417961E-2</c:v>
                      </c:pt>
                      <c:pt idx="7">
                        <c:v>1.3660510343812229E-2</c:v>
                      </c:pt>
                      <c:pt idx="8">
                        <c:v>1.3555066178580752E-2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A3E-416D-803B-6AE4A46694E9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Summary'!$H$2</c15:sqref>
                        </c15:formulaRef>
                      </c:ext>
                    </c:extLst>
                    <c:strCache>
                      <c:ptCount val="1"/>
                      <c:pt idx="0">
                        <c:v>Annualised Volatility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Summary'!$H$3:$H$12</c15:sqref>
                        </c15:fullRef>
                        <c15:formulaRef>
                          <c15:sqref>'Out Sample Forecast Summary'!$H$4:$H$12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1.9202084256870998E-3</c:v>
                      </c:pt>
                      <c:pt idx="1">
                        <c:v>1.9244509276268881E-3</c:v>
                      </c:pt>
                      <c:pt idx="2">
                        <c:v>1.9386485415078497E-3</c:v>
                      </c:pt>
                      <c:pt idx="3">
                        <c:v>1.9357631913032411E-3</c:v>
                      </c:pt>
                      <c:pt idx="4">
                        <c:v>1.9267558752966219E-3</c:v>
                      </c:pt>
                      <c:pt idx="5">
                        <c:v>1.9174859894749718E-3</c:v>
                      </c:pt>
                      <c:pt idx="6">
                        <c:v>1.9030028156584761E-3</c:v>
                      </c:pt>
                      <c:pt idx="7">
                        <c:v>1.8943719420623541E-3</c:v>
                      </c:pt>
                      <c:pt idx="8">
                        <c:v>1.8797494672761776E-3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A3E-416D-803B-6AE4A46694E9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Summary'!$I$2</c15:sqref>
                        </c15:formulaRef>
                      </c:ext>
                    </c:extLst>
                    <c:strCache>
                      <c:ptCount val="1"/>
                      <c:pt idx="0">
                        <c:v>Market Drift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Summary'!$I$3:$I$12</c15:sqref>
                        </c15:fullRef>
                        <c15:formulaRef>
                          <c15:sqref>'Out Sample Forecast Summary'!$I$4:$I$12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-1.5109131279201077E-3</c:v>
                      </c:pt>
                      <c:pt idx="1">
                        <c:v>-1.1528346697029083E-3</c:v>
                      </c:pt>
                      <c:pt idx="2">
                        <c:v>-9.4015156695744352E-4</c:v>
                      </c:pt>
                      <c:pt idx="3">
                        <c:v>-1.1461183416359121E-3</c:v>
                      </c:pt>
                      <c:pt idx="4">
                        <c:v>-1.4436691383914583E-3</c:v>
                      </c:pt>
                      <c:pt idx="5">
                        <c:v>-1.2065073372728454E-3</c:v>
                      </c:pt>
                      <c:pt idx="6">
                        <c:v>-1.0076944156646882E-3</c:v>
                      </c:pt>
                      <c:pt idx="7">
                        <c:v>-1.1139271844809269E-3</c:v>
                      </c:pt>
                      <c:pt idx="8">
                        <c:v>-8.1699285930402084E-4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A3E-416D-803B-6AE4A46694E9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Summary'!$O$2</c15:sqref>
                        </c15:formulaRef>
                      </c:ext>
                    </c:extLst>
                    <c:strCache>
                      <c:ptCount val="1"/>
                      <c:pt idx="0">
                        <c:v>Lower Limit (CI)</c:v>
                      </c:pt>
                    </c:strCache>
                  </c:strRef>
                </c:tx>
                <c:spPr>
                  <a:noFill/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Summary'!$O$3:$O$12</c15:sqref>
                        </c15:fullRef>
                        <c15:formulaRef>
                          <c15:sqref>'Out Sample Forecast Summary'!$O$4:$O$12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9.817904151058455</c:v>
                      </c:pt>
                      <c:pt idx="1">
                        <c:v>9.7514725515850209</c:v>
                      </c:pt>
                      <c:pt idx="2">
                        <c:v>9.8430082086962507</c:v>
                      </c:pt>
                      <c:pt idx="3">
                        <c:v>9.9505030287531291</c:v>
                      </c:pt>
                      <c:pt idx="4">
                        <c:v>9.89799717588334</c:v>
                      </c:pt>
                      <c:pt idx="5">
                        <c:v>9.8407159490368077</c:v>
                      </c:pt>
                      <c:pt idx="6">
                        <c:v>9.8531445705141358</c:v>
                      </c:pt>
                      <c:pt idx="7">
                        <c:v>9.8222088287723608</c:v>
                      </c:pt>
                      <c:pt idx="8">
                        <c:v>9.865340463692851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A3E-416D-803B-6AE4A46694E9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Summary'!$Q$2</c15:sqref>
                        </c15:formulaRef>
                      </c:ext>
                    </c:extLst>
                    <c:strCache>
                      <c:ptCount val="1"/>
                      <c:pt idx="0">
                        <c:v>Confidence Interval (Forecasted Price)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  <a:alpha val="4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Summary'!$Q$3:$Q$12</c15:sqref>
                        </c15:fullRef>
                        <c15:formulaRef>
                          <c15:sqref>'Out Sample Forecast Summary'!$Q$4:$Q$12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7.4180330788220061E-2</c:v>
                      </c:pt>
                      <c:pt idx="1">
                        <c:v>7.3841798605466025E-2</c:v>
                      </c:pt>
                      <c:pt idx="2">
                        <c:v>7.5086913565588276E-2</c:v>
                      </c:pt>
                      <c:pt idx="3">
                        <c:v>7.5793528819337652E-2</c:v>
                      </c:pt>
                      <c:pt idx="4">
                        <c:v>7.5041447816690976E-2</c:v>
                      </c:pt>
                      <c:pt idx="5">
                        <c:v>7.4246875462094408E-2</c:v>
                      </c:pt>
                      <c:pt idx="6">
                        <c:v>7.3777040278857342E-2</c:v>
                      </c:pt>
                      <c:pt idx="7">
                        <c:v>7.3210606193592653E-2</c:v>
                      </c:pt>
                      <c:pt idx="8">
                        <c:v>7.2962410374483255E-2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A3E-416D-803B-6AE4A46694E9}"/>
                  </c:ext>
                </c:extLst>
              </c15:ser>
            </c15:filteredAreaSeries>
          </c:ext>
        </c:extLst>
      </c:areaChart>
      <c:areaChart>
        <c:grouping val="stacked"/>
        <c:varyColors val="0"/>
        <c:ser>
          <c:idx val="16"/>
          <c:order val="16"/>
          <c:tx>
            <c:strRef>
              <c:f>'Out Sample Forecast Summary'!$K$2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Summary'!$K$3:$K$12</c15:sqref>
                  </c15:fullRef>
                </c:ext>
              </c:extLst>
              <c:f>'Out Sample Forecast Summary'!$K$4:$K$12</c:f>
              <c:numCache>
                <c:formatCode>General</c:formatCode>
                <c:ptCount val="9"/>
                <c:pt idx="0">
                  <c:v>10.037685369131536</c:v>
                </c:pt>
                <c:pt idx="1">
                  <c:v>10.029523655630475</c:v>
                </c:pt>
                <c:pt idx="2">
                  <c:v>10.021807925947309</c:v>
                </c:pt>
                <c:pt idx="3">
                  <c:v>10.008127684102435</c:v>
                </c:pt>
                <c:pt idx="4">
                  <c:v>9.9905962406943178</c:v>
                </c:pt>
                <c:pt idx="5">
                  <c:v>9.9809007343283778</c:v>
                </c:pt>
                <c:pt idx="6">
                  <c:v>9.9730245170038909</c:v>
                </c:pt>
                <c:pt idx="7">
                  <c:v>9.9608422844619966</c:v>
                </c:pt>
                <c:pt idx="8">
                  <c:v>9.9558539146132237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E-416D-803B-6AE4A46694E9}"/>
            </c:ext>
          </c:extLst>
        </c:ser>
        <c:ser>
          <c:idx val="17"/>
          <c:order val="17"/>
          <c:tx>
            <c:strRef>
              <c:f>'Out Sample Forecast Summary'!$M$2</c:f>
              <c:strCache>
                <c:ptCount val="1"/>
                <c:pt idx="0">
                  <c:v>Confidence Interval (Avg Price)</c:v>
                </c:pt>
              </c:strCache>
            </c:strRef>
          </c:tx>
          <c:spPr>
            <a:solidFill>
              <a:srgbClr val="CFAFE7">
                <a:alpha val="77000"/>
              </a:srgbClr>
            </a:solidFill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Summary'!$M$3:$M$12</c15:sqref>
                  </c15:fullRef>
                </c:ext>
              </c:extLst>
              <c:f>'Out Sample Forecast Summary'!$M$4:$M$12</c:f>
              <c:numCache>
                <c:formatCode>General</c:formatCode>
                <c:ptCount val="9"/>
                <c:pt idx="0">
                  <c:v>7.5840913658744569E-2</c:v>
                </c:pt>
                <c:pt idx="1">
                  <c:v>7.5947305596162806E-2</c:v>
                </c:pt>
                <c:pt idx="2">
                  <c:v>7.6450878588286031E-2</c:v>
                </c:pt>
                <c:pt idx="3">
                  <c:v>7.6232458988325646E-2</c:v>
                </c:pt>
                <c:pt idx="4">
                  <c:v>7.574348558922317E-2</c:v>
                </c:pt>
                <c:pt idx="5">
                  <c:v>7.5304550772418821E-2</c:v>
                </c:pt>
                <c:pt idx="6">
                  <c:v>7.4674661091940209E-2</c:v>
                </c:pt>
                <c:pt idx="7">
                  <c:v>7.4243921561519599E-2</c:v>
                </c:pt>
                <c:pt idx="8">
                  <c:v>7.3631832740062464E-2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3E-416D-803B-6AE4A466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84128"/>
        <c:axId val="1551380768"/>
      </c:areaChart>
      <c:lineChart>
        <c:grouping val="standard"/>
        <c:varyColors val="0"/>
        <c:ser>
          <c:idx val="0"/>
          <c:order val="0"/>
          <c:tx>
            <c:strRef>
              <c:f>'Out Sample Forecast Summary'!$B$2</c:f>
              <c:strCache>
                <c:ptCount val="1"/>
                <c:pt idx="0">
                  <c:v>Actual Price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Summary'!$B$3:$B$12</c15:sqref>
                  </c15:fullRef>
                </c:ext>
              </c:extLst>
              <c:f>'Out Sample Forecast Summary'!$B$4:$B$12</c:f>
              <c:numCache>
                <c:formatCode>General</c:formatCode>
                <c:ptCount val="9"/>
                <c:pt idx="0">
                  <c:v>9.8000000000000007</c:v>
                </c:pt>
                <c:pt idx="1">
                  <c:v>9.89</c:v>
                </c:pt>
                <c:pt idx="2">
                  <c:v>10</c:v>
                </c:pt>
                <c:pt idx="3">
                  <c:v>9.9499999999999993</c:v>
                </c:pt>
                <c:pt idx="4">
                  <c:v>9.89</c:v>
                </c:pt>
                <c:pt idx="5">
                  <c:v>9.9</c:v>
                </c:pt>
                <c:pt idx="6">
                  <c:v>9.8699999999999992</c:v>
                </c:pt>
                <c:pt idx="7">
                  <c:v>9.91</c:v>
                </c:pt>
                <c:pt idx="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E-416D-803B-6AE4A46694E9}"/>
            </c:ext>
          </c:extLst>
        </c:ser>
        <c:ser>
          <c:idx val="9"/>
          <c:order val="9"/>
          <c:tx>
            <c:strRef>
              <c:f>'Out Sample Forecast Summary'!$N$2</c:f>
              <c:strCache>
                <c:ptCount val="1"/>
                <c:pt idx="0">
                  <c:v>Forecasted 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Summary'!$N$3:$N$12</c15:sqref>
                  </c15:fullRef>
                </c:ext>
              </c:extLst>
              <c:f>'Out Sample Forecast Summary'!$N$4:$N$12</c:f>
              <c:numCache>
                <c:formatCode>General</c:formatCode>
                <c:ptCount val="9"/>
                <c:pt idx="0">
                  <c:v>9.869825709302317</c:v>
                </c:pt>
                <c:pt idx="1">
                  <c:v>9.7996146455954101</c:v>
                </c:pt>
                <c:pt idx="2">
                  <c:v>9.8897738547130079</c:v>
                </c:pt>
                <c:pt idx="3">
                  <c:v>9.9997822698576826</c:v>
                </c:pt>
                <c:pt idx="4">
                  <c:v>9.9498009093690332</c:v>
                </c:pt>
                <c:pt idx="5">
                  <c:v>9.8896944206114039</c:v>
                </c:pt>
                <c:pt idx="6">
                  <c:v>9.8999353806062409</c:v>
                </c:pt>
                <c:pt idx="7">
                  <c:v>9.8697342189426269</c:v>
                </c:pt>
                <c:pt idx="8">
                  <c:v>9.9098474331315103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3E-416D-803B-6AE4A466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3951"/>
        <c:axId val="420451551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'Out Sample Forecast Summary'!$J$2</c15:sqref>
                        </c15:formulaRef>
                      </c:ext>
                    </c:extLst>
                    <c:strCache>
                      <c:ptCount val="1"/>
                      <c:pt idx="0">
                        <c:v>Average Price (Rolling)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Summary'!$J$3:$J$12</c15:sqref>
                        </c15:fullRef>
                        <c15:formulaRef>
                          <c15:sqref>'Out Sample Forecast Summary'!$J$4:$J$12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10.090769230769229</c:v>
                      </c:pt>
                      <c:pt idx="1">
                        <c:v>10.079038461538461</c:v>
                      </c:pt>
                      <c:pt idx="2">
                        <c:v>10.069423076923076</c:v>
                      </c:pt>
                      <c:pt idx="3">
                        <c:v>10.057692307692308</c:v>
                      </c:pt>
                      <c:pt idx="4">
                        <c:v>10.042884615384615</c:v>
                      </c:pt>
                      <c:pt idx="5">
                        <c:v>10.030576923076922</c:v>
                      </c:pt>
                      <c:pt idx="6">
                        <c:v>10.020384615384614</c:v>
                      </c:pt>
                      <c:pt idx="7">
                        <c:v>10.009038461538463</c:v>
                      </c:pt>
                      <c:pt idx="8">
                        <c:v>10.000769230769233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A3E-416D-803B-6AE4A46694E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Summary'!$P$2</c15:sqref>
                        </c15:formulaRef>
                      </c:ext>
                    </c:extLst>
                    <c:strCache>
                      <c:ptCount val="1"/>
                      <c:pt idx="0">
                        <c:v>Upper Limit (CI)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Summary'!$P$3:$P$12</c15:sqref>
                        </c15:fullRef>
                        <c15:formulaRef>
                          <c15:sqref>'Out Sample Forecast Summary'!$P$4:$P$12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9.8920844818466751</c:v>
                      </c:pt>
                      <c:pt idx="1">
                        <c:v>9.8253143501904869</c:v>
                      </c:pt>
                      <c:pt idx="2">
                        <c:v>9.918095122261839</c:v>
                      </c:pt>
                      <c:pt idx="3">
                        <c:v>10.026296557572467</c:v>
                      </c:pt>
                      <c:pt idx="4">
                        <c:v>9.973038623700031</c:v>
                      </c:pt>
                      <c:pt idx="5">
                        <c:v>9.9149628244989021</c:v>
                      </c:pt>
                      <c:pt idx="6">
                        <c:v>9.9269216107929932</c:v>
                      </c:pt>
                      <c:pt idx="7">
                        <c:v>9.8954194349659534</c:v>
                      </c:pt>
                      <c:pt idx="8">
                        <c:v>9.9383028740673343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A3E-416D-803B-6AE4A46694E9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Summary'!$R$2</c15:sqref>
                        </c15:formulaRef>
                      </c:ext>
                    </c:extLst>
                    <c:strCache>
                      <c:ptCount val="1"/>
                      <c:pt idx="0">
                        <c:v>Forecasted Price (With Dividend)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Summary'!$R$3:$R$12</c15:sqref>
                        </c15:fullRef>
                        <c15:formulaRef>
                          <c15:sqref>'Out Sample Forecast Summary'!$R$4:$R$12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9.8581624685135214</c:v>
                      </c:pt>
                      <c:pt idx="1">
                        <c:v>9.7882539586411674</c:v>
                      </c:pt>
                      <c:pt idx="2">
                        <c:v>9.8781998524091961</c:v>
                      </c:pt>
                      <c:pt idx="3">
                        <c:v>9.9880983320163619</c:v>
                      </c:pt>
                      <c:pt idx="4">
                        <c:v>9.9381108128875191</c:v>
                      </c:pt>
                      <c:pt idx="5">
                        <c:v>9.8781082933947602</c:v>
                      </c:pt>
                      <c:pt idx="6">
                        <c:v>9.8882030843109519</c:v>
                      </c:pt>
                      <c:pt idx="7">
                        <c:v>9.858239034228518</c:v>
                      </c:pt>
                      <c:pt idx="8">
                        <c:v>9.8981383934951328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3E-416D-803B-6AE4A46694E9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Summary'!$S$2</c15:sqref>
                        </c15:formulaRef>
                      </c:ext>
                    </c:extLst>
                    <c:strCache>
                      <c:ptCount val="1"/>
                      <c:pt idx="0">
                        <c:v>Percentage Error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Summary'!$S$3:$S$12</c15:sqref>
                        </c15:fullRef>
                        <c15:formulaRef>
                          <c15:sqref>'Out Sample Forecast Summary'!$S$4:$S$12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-7.1250723777873714E-3</c:v>
                      </c:pt>
                      <c:pt idx="1">
                        <c:v>9.1390651571881185E-3</c:v>
                      </c:pt>
                      <c:pt idx="2">
                        <c:v>1.1022614528699215E-2</c:v>
                      </c:pt>
                      <c:pt idx="3">
                        <c:v>-5.0032432017772166E-3</c:v>
                      </c:pt>
                      <c:pt idx="4">
                        <c:v>-6.0466035762419207E-3</c:v>
                      </c:pt>
                      <c:pt idx="5">
                        <c:v>1.0409676150097415E-3</c:v>
                      </c:pt>
                      <c:pt idx="6">
                        <c:v>-3.0329666267722068E-3</c:v>
                      </c:pt>
                      <c:pt idx="7">
                        <c:v>4.0631464235492652E-3</c:v>
                      </c:pt>
                      <c:pt idx="8">
                        <c:v>2.0294629273403253E-3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A3E-416D-803B-6AE4A46694E9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Summary'!$T$2</c15:sqref>
                        </c15:formulaRef>
                      </c:ext>
                    </c:extLst>
                    <c:strCache>
                      <c:ptCount val="1"/>
                      <c:pt idx="0">
                        <c:v>Percentage Error (Dividend)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Summary'!$T$3:$T$12</c15:sqref>
                        </c15:fullRef>
                        <c15:formulaRef>
                          <c15:sqref>'Out Sample Forecast Summary'!$T$4:$T$12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-5.9349457666857848E-3</c:v>
                      </c:pt>
                      <c:pt idx="1">
                        <c:v>1.028776960149981E-2</c:v>
                      </c:pt>
                      <c:pt idx="2">
                        <c:v>1.2180014759080393E-2</c:v>
                      </c:pt>
                      <c:pt idx="3">
                        <c:v>-3.8289780920967432E-3</c:v>
                      </c:pt>
                      <c:pt idx="4">
                        <c:v>-4.8645917985357433E-3</c:v>
                      </c:pt>
                      <c:pt idx="5">
                        <c:v>2.2112834954788082E-3</c:v>
                      </c:pt>
                      <c:pt idx="6">
                        <c:v>-1.8442841247165789E-3</c:v>
                      </c:pt>
                      <c:pt idx="7">
                        <c:v>5.2231045178084915E-3</c:v>
                      </c:pt>
                      <c:pt idx="8">
                        <c:v>3.2086209974689743E-3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A3E-416D-803B-6AE4A46694E9}"/>
                  </c:ext>
                </c:extLst>
              </c15:ser>
            </c15:filteredLineSeries>
          </c:ext>
        </c:extLst>
      </c:lineChart>
      <c:catAx>
        <c:axId val="420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1551"/>
        <c:crosses val="autoZero"/>
        <c:auto val="1"/>
        <c:lblAlgn val="ctr"/>
        <c:lblOffset val="100"/>
        <c:noMultiLvlLbl val="0"/>
      </c:catAx>
      <c:valAx>
        <c:axId val="420451551"/>
        <c:scaling>
          <c:orientation val="minMax"/>
          <c:max val="10.15"/>
          <c:min val="9.75000000000000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3951"/>
        <c:crosses val="autoZero"/>
        <c:crossBetween val="between"/>
      </c:valAx>
      <c:valAx>
        <c:axId val="1551380768"/>
        <c:scaling>
          <c:orientation val="minMax"/>
          <c:max val="10.15"/>
          <c:min val="9.75"/>
        </c:scaling>
        <c:delete val="1"/>
        <c:axPos val="r"/>
        <c:numFmt formatCode="General" sourceLinked="1"/>
        <c:majorTickMark val="out"/>
        <c:minorTickMark val="none"/>
        <c:tickLblPos val="nextTo"/>
        <c:crossAx val="1551384128"/>
        <c:crosses val="max"/>
        <c:crossBetween val="between"/>
      </c:valAx>
      <c:catAx>
        <c:axId val="155138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5138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669776272664667"/>
          <c:y val="0.84781259174430146"/>
          <c:w val="0.71478424226885939"/>
          <c:h val="0.1182705810094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Forecasted</a:t>
            </a:r>
            <a:r>
              <a:rPr lang="en-MY" baseline="0"/>
              <a:t> Price With Dividend and 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361843898343"/>
          <c:y val="0.13195575879680779"/>
          <c:w val="0.85459527394141988"/>
          <c:h val="0.59221913077386812"/>
        </c:manualLayout>
      </c:layout>
      <c:areaChart>
        <c:grouping val="stacked"/>
        <c:varyColors val="0"/>
        <c:ser>
          <c:idx val="10"/>
          <c:order val="10"/>
          <c:tx>
            <c:strRef>
              <c:f>'Out Sample Forecast Summary'!$O$2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Summary'!$O$3:$O$12</c15:sqref>
                  </c15:fullRef>
                </c:ext>
              </c:extLst>
              <c:f>'Out Sample Forecast Summary'!$O$4:$O$12</c:f>
              <c:numCache>
                <c:formatCode>General</c:formatCode>
                <c:ptCount val="9"/>
                <c:pt idx="0">
                  <c:v>9.817904151058455</c:v>
                </c:pt>
                <c:pt idx="1">
                  <c:v>9.7514725515850209</c:v>
                </c:pt>
                <c:pt idx="2">
                  <c:v>9.8430082086962507</c:v>
                </c:pt>
                <c:pt idx="3">
                  <c:v>9.9505030287531291</c:v>
                </c:pt>
                <c:pt idx="4">
                  <c:v>9.89799717588334</c:v>
                </c:pt>
                <c:pt idx="5">
                  <c:v>9.8407159490368077</c:v>
                </c:pt>
                <c:pt idx="6">
                  <c:v>9.8531445705141358</c:v>
                </c:pt>
                <c:pt idx="7">
                  <c:v>9.8222088287723608</c:v>
                </c:pt>
                <c:pt idx="8">
                  <c:v>9.865340463692851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8-4FFD-B08A-9A84B404E7BC}"/>
            </c:ext>
          </c:extLst>
        </c:ser>
        <c:ser>
          <c:idx val="12"/>
          <c:order val="12"/>
          <c:tx>
            <c:strRef>
              <c:f>'Out Sample Forecast Summary'!$Q$2</c:f>
              <c:strCache>
                <c:ptCount val="1"/>
                <c:pt idx="0">
                  <c:v>Confidence Interval (Forecasted Price)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4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Summary'!$Q$3:$Q$12</c15:sqref>
                  </c15:fullRef>
                </c:ext>
              </c:extLst>
              <c:f>'Out Sample Forecast Summary'!$Q$4:$Q$12</c:f>
              <c:numCache>
                <c:formatCode>General</c:formatCode>
                <c:ptCount val="9"/>
                <c:pt idx="0">
                  <c:v>7.4180330788220061E-2</c:v>
                </c:pt>
                <c:pt idx="1">
                  <c:v>7.3841798605466025E-2</c:v>
                </c:pt>
                <c:pt idx="2">
                  <c:v>7.5086913565588276E-2</c:v>
                </c:pt>
                <c:pt idx="3">
                  <c:v>7.5793528819337652E-2</c:v>
                </c:pt>
                <c:pt idx="4">
                  <c:v>7.5041447816690976E-2</c:v>
                </c:pt>
                <c:pt idx="5">
                  <c:v>7.4246875462094408E-2</c:v>
                </c:pt>
                <c:pt idx="6">
                  <c:v>7.3777040278857342E-2</c:v>
                </c:pt>
                <c:pt idx="7">
                  <c:v>7.3210606193592653E-2</c:v>
                </c:pt>
                <c:pt idx="8">
                  <c:v>7.2962410374483255E-2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8-4FFD-B08A-9A84B404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453951"/>
        <c:axId val="420451551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 Sample Forecast Summary'!$C$2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Summary'!$C$3:$C$12</c15:sqref>
                        </c15:fullRef>
                        <c15:formulaRef>
                          <c15:sqref>'Out Sample Forecast Summary'!$C$4:$C$12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33.54</c:v>
                      </c:pt>
                      <c:pt idx="1">
                        <c:v>50.26</c:v>
                      </c:pt>
                      <c:pt idx="2">
                        <c:v>54.95</c:v>
                      </c:pt>
                      <c:pt idx="3">
                        <c:v>37.35</c:v>
                      </c:pt>
                      <c:pt idx="4">
                        <c:v>53.41</c:v>
                      </c:pt>
                      <c:pt idx="5">
                        <c:v>43.01</c:v>
                      </c:pt>
                      <c:pt idx="6">
                        <c:v>47.13</c:v>
                      </c:pt>
                      <c:pt idx="7">
                        <c:v>56.07</c:v>
                      </c:pt>
                      <c:pt idx="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E68-4FFD-B08A-9A84B404E7B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Summary'!$D$2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Summary'!$D$3:$D$12</c15:sqref>
                        </c15:fullRef>
                        <c15:formulaRef>
                          <c15:sqref>'Out Sample Forecast Summary'!$D$4:$D$12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-7.1000000000000004E-3</c:v>
                      </c:pt>
                      <c:pt idx="1">
                        <c:v>9.1999999999999998E-3</c:v>
                      </c:pt>
                      <c:pt idx="2">
                        <c:v>1.11E-2</c:v>
                      </c:pt>
                      <c:pt idx="3">
                        <c:v>-5.0000000000000001E-3</c:v>
                      </c:pt>
                      <c:pt idx="4">
                        <c:v>-6.0000000000000001E-3</c:v>
                      </c:pt>
                      <c:pt idx="5">
                        <c:v>1E-3</c:v>
                      </c:pt>
                      <c:pt idx="6">
                        <c:v>-3.0000000000000001E-3</c:v>
                      </c:pt>
                      <c:pt idx="7">
                        <c:v>4.1000000000000003E-3</c:v>
                      </c:pt>
                      <c:pt idx="8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E68-4FFD-B08A-9A84B404E7B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Summary'!$E$2</c15:sqref>
                        </c15:formulaRef>
                      </c:ext>
                    </c:extLst>
                    <c:strCache>
                      <c:ptCount val="1"/>
                      <c:pt idx="0">
                        <c:v>Weekly Log Return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Summary'!$E$3:$E$12</c15:sqref>
                        </c15:fullRef>
                        <c15:formulaRef>
                          <c15:sqref>'Out Sample Forecast Summary'!$E$4:$E$12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-7.1174677688638785E-3</c:v>
                      </c:pt>
                      <c:pt idx="1">
                        <c:v>9.1417599580945093E-3</c:v>
                      </c:pt>
                      <c:pt idx="2">
                        <c:v>1.1060947359424976E-2</c:v>
                      </c:pt>
                      <c:pt idx="3">
                        <c:v>-5.0125418235443982E-3</c:v>
                      </c:pt>
                      <c:pt idx="4">
                        <c:v>-6.0484055358804812E-3</c:v>
                      </c:pt>
                      <c:pt idx="5">
                        <c:v>1.0106115059234598E-3</c:v>
                      </c:pt>
                      <c:pt idx="6">
                        <c:v>-3.0349036951541584E-3</c:v>
                      </c:pt>
                      <c:pt idx="7">
                        <c:v>4.0444948965064438E-3</c:v>
                      </c:pt>
                      <c:pt idx="8">
                        <c:v>2.0161297151844956E-3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E68-4FFD-B08A-9A84B404E7B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Summary'!$F$2</c15:sqref>
                        </c15:formulaRef>
                      </c:ext>
                    </c:extLst>
                    <c:strCache>
                      <c:ptCount val="1"/>
                      <c:pt idx="0">
                        <c:v>Raw Drift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Summary'!$F$3:$F$12</c15:sqref>
                        </c15:fullRef>
                        <c15:formulaRef>
                          <c15:sqref>'Out Sample Forecast Summary'!$F$4:$F$12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-1.5090695277210678E-3</c:v>
                      </c:pt>
                      <c:pt idx="1">
                        <c:v>-1.1509829140164862E-3</c:v>
                      </c:pt>
                      <c:pt idx="2">
                        <c:v>-9.3827238787369831E-4</c:v>
                      </c:pt>
                      <c:pt idx="3">
                        <c:v>-1.1442447520695097E-3</c:v>
                      </c:pt>
                      <c:pt idx="4">
                        <c:v>-1.4418129442899633E-3</c:v>
                      </c:pt>
                      <c:pt idx="5">
                        <c:v>-1.2046689610129291E-3</c:v>
                      </c:pt>
                      <c:pt idx="6">
                        <c:v>-1.0058837058064861E-3</c:v>
                      </c:pt>
                      <c:pt idx="7">
                        <c:v>-1.1121328619534904E-3</c:v>
                      </c:pt>
                      <c:pt idx="8">
                        <c:v>-8.1522613027415827E-4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E68-4FFD-B08A-9A84B404E7B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Summary'!$G$2</c15:sqref>
                        </c15:formulaRef>
                      </c:ext>
                    </c:extLst>
                    <c:strCache>
                      <c:ptCount val="1"/>
                      <c:pt idx="0">
                        <c:v>Volatility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Summary'!$G$3:$G$12</c15:sqref>
                        </c15:fullRef>
                        <c15:formulaRef>
                          <c15:sqref>'Out Sample Forecast Summary'!$G$4:$G$12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1.3846819876785642E-2</c:v>
                      </c:pt>
                      <c:pt idx="1">
                        <c:v>1.3877412993345967E-2</c:v>
                      </c:pt>
                      <c:pt idx="2">
                        <c:v>1.3979793443020059E-2</c:v>
                      </c:pt>
                      <c:pt idx="3">
                        <c:v>1.3958986886799286E-2</c:v>
                      </c:pt>
                      <c:pt idx="4">
                        <c:v>1.3894034207366939E-2</c:v>
                      </c:pt>
                      <c:pt idx="5">
                        <c:v>1.3827188110071628E-2</c:v>
                      </c:pt>
                      <c:pt idx="6">
                        <c:v>1.3722748458417961E-2</c:v>
                      </c:pt>
                      <c:pt idx="7">
                        <c:v>1.3660510343812229E-2</c:v>
                      </c:pt>
                      <c:pt idx="8">
                        <c:v>1.3555066178580752E-2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E68-4FFD-B08A-9A84B404E7B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Summary'!$H$2</c15:sqref>
                        </c15:formulaRef>
                      </c:ext>
                    </c:extLst>
                    <c:strCache>
                      <c:ptCount val="1"/>
                      <c:pt idx="0">
                        <c:v>Annualised Volatility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Summary'!$H$3:$H$12</c15:sqref>
                        </c15:fullRef>
                        <c15:formulaRef>
                          <c15:sqref>'Out Sample Forecast Summary'!$H$4:$H$12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1.9202084256870998E-3</c:v>
                      </c:pt>
                      <c:pt idx="1">
                        <c:v>1.9244509276268881E-3</c:v>
                      </c:pt>
                      <c:pt idx="2">
                        <c:v>1.9386485415078497E-3</c:v>
                      </c:pt>
                      <c:pt idx="3">
                        <c:v>1.9357631913032411E-3</c:v>
                      </c:pt>
                      <c:pt idx="4">
                        <c:v>1.9267558752966219E-3</c:v>
                      </c:pt>
                      <c:pt idx="5">
                        <c:v>1.9174859894749718E-3</c:v>
                      </c:pt>
                      <c:pt idx="6">
                        <c:v>1.9030028156584761E-3</c:v>
                      </c:pt>
                      <c:pt idx="7">
                        <c:v>1.8943719420623541E-3</c:v>
                      </c:pt>
                      <c:pt idx="8">
                        <c:v>1.8797494672761776E-3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E68-4FFD-B08A-9A84B404E7B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Summary'!$I$2</c15:sqref>
                        </c15:formulaRef>
                      </c:ext>
                    </c:extLst>
                    <c:strCache>
                      <c:ptCount val="1"/>
                      <c:pt idx="0">
                        <c:v>Market Drift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Summary'!$I$3:$I$12</c15:sqref>
                        </c15:fullRef>
                        <c15:formulaRef>
                          <c15:sqref>'Out Sample Forecast Summary'!$I$4:$I$12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-1.5109131279201077E-3</c:v>
                      </c:pt>
                      <c:pt idx="1">
                        <c:v>-1.1528346697029083E-3</c:v>
                      </c:pt>
                      <c:pt idx="2">
                        <c:v>-9.4015156695744352E-4</c:v>
                      </c:pt>
                      <c:pt idx="3">
                        <c:v>-1.1461183416359121E-3</c:v>
                      </c:pt>
                      <c:pt idx="4">
                        <c:v>-1.4436691383914583E-3</c:v>
                      </c:pt>
                      <c:pt idx="5">
                        <c:v>-1.2065073372728454E-3</c:v>
                      </c:pt>
                      <c:pt idx="6">
                        <c:v>-1.0076944156646882E-3</c:v>
                      </c:pt>
                      <c:pt idx="7">
                        <c:v>-1.1139271844809269E-3</c:v>
                      </c:pt>
                      <c:pt idx="8">
                        <c:v>-8.1699285930402084E-4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E68-4FFD-B08A-9A84B404E7BC}"/>
                  </c:ext>
                </c:extLst>
              </c15:ser>
            </c15:filteredAreaSeries>
          </c:ext>
        </c:extLst>
      </c:areaChar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51384128"/>
        <c:axId val="1551380768"/>
        <c:extLst>
          <c:ext xmlns:c15="http://schemas.microsoft.com/office/drawing/2012/chart" uri="{02D57815-91ED-43cb-92C2-25804820EDAC}">
            <c15:filteredAreaSeries>
              <c15:ser>
                <c:idx val="16"/>
                <c:order val="16"/>
                <c:tx>
                  <c:strRef>
                    <c:extLst>
                      <c:ext uri="{02D57815-91ED-43cb-92C2-25804820EDAC}">
                        <c15:formulaRef>
                          <c15:sqref>'Out Sample Forecast Summary'!$K$2</c15:sqref>
                        </c15:formulaRef>
                      </c:ext>
                    </c:extLst>
                    <c:strCache>
                      <c:ptCount val="1"/>
                      <c:pt idx="0">
                        <c:v>Lower Limit (CI)</c:v>
                      </c:pt>
                    </c:strCache>
                  </c:strRef>
                </c:tx>
                <c:spPr>
                  <a:noFill/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ullRef>
                          <c15:sqref>'Out Sample Forecast Summary'!$K$3:$K$12</c15:sqref>
                        </c15:fullRef>
                        <c15:formulaRef>
                          <c15:sqref>'Out Sample Forecast Summary'!$K$4:$K$12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10.037685369131536</c:v>
                      </c:pt>
                      <c:pt idx="1">
                        <c:v>10.029523655630475</c:v>
                      </c:pt>
                      <c:pt idx="2">
                        <c:v>10.021807925947309</c:v>
                      </c:pt>
                      <c:pt idx="3">
                        <c:v>10.008127684102435</c:v>
                      </c:pt>
                      <c:pt idx="4">
                        <c:v>9.9905962406943178</c:v>
                      </c:pt>
                      <c:pt idx="5">
                        <c:v>9.9809007343283778</c:v>
                      </c:pt>
                      <c:pt idx="6">
                        <c:v>9.9730245170038909</c:v>
                      </c:pt>
                      <c:pt idx="7">
                        <c:v>9.9608422844619966</c:v>
                      </c:pt>
                      <c:pt idx="8">
                        <c:v>9.9558539146132237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E68-4FFD-B08A-9A84B404E7BC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Summary'!$M$2</c15:sqref>
                        </c15:formulaRef>
                      </c:ext>
                    </c:extLst>
                    <c:strCache>
                      <c:ptCount val="1"/>
                      <c:pt idx="0">
                        <c:v>Confidence Interval (Avg Price)</c:v>
                      </c:pt>
                    </c:strCache>
                  </c:strRef>
                </c:tx>
                <c:spPr>
                  <a:solidFill>
                    <a:srgbClr val="CFAFE7">
                      <a:alpha val="77000"/>
                    </a:srgbClr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Summary'!$M$3:$M$12</c15:sqref>
                        </c15:fullRef>
                        <c15:formulaRef>
                          <c15:sqref>'Out Sample Forecast Summary'!$M$4:$M$12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7.5840913658744569E-2</c:v>
                      </c:pt>
                      <c:pt idx="1">
                        <c:v>7.5947305596162806E-2</c:v>
                      </c:pt>
                      <c:pt idx="2">
                        <c:v>7.6450878588286031E-2</c:v>
                      </c:pt>
                      <c:pt idx="3">
                        <c:v>7.6232458988325646E-2</c:v>
                      </c:pt>
                      <c:pt idx="4">
                        <c:v>7.574348558922317E-2</c:v>
                      </c:pt>
                      <c:pt idx="5">
                        <c:v>7.5304550772418821E-2</c:v>
                      </c:pt>
                      <c:pt idx="6">
                        <c:v>7.4674661091940209E-2</c:v>
                      </c:pt>
                      <c:pt idx="7">
                        <c:v>7.4243921561519599E-2</c:v>
                      </c:pt>
                      <c:pt idx="8">
                        <c:v>7.3631832740062464E-2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68-4FFD-B08A-9A84B404E7BC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9"/>
          <c:order val="9"/>
          <c:tx>
            <c:strRef>
              <c:f>'Out Sample Forecast Summary'!$N$2</c:f>
              <c:strCache>
                <c:ptCount val="1"/>
                <c:pt idx="0">
                  <c:v>Forecasted 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Summary'!$N$3:$N$12</c15:sqref>
                  </c15:fullRef>
                </c:ext>
              </c:extLst>
              <c:f>'Out Sample Forecast Summary'!$N$4:$N$12</c:f>
              <c:numCache>
                <c:formatCode>General</c:formatCode>
                <c:ptCount val="9"/>
                <c:pt idx="0">
                  <c:v>9.869825709302317</c:v>
                </c:pt>
                <c:pt idx="1">
                  <c:v>9.7996146455954101</c:v>
                </c:pt>
                <c:pt idx="2">
                  <c:v>9.8897738547130079</c:v>
                </c:pt>
                <c:pt idx="3">
                  <c:v>9.9997822698576826</c:v>
                </c:pt>
                <c:pt idx="4">
                  <c:v>9.9498009093690332</c:v>
                </c:pt>
                <c:pt idx="5">
                  <c:v>9.8896944206114039</c:v>
                </c:pt>
                <c:pt idx="6">
                  <c:v>9.8999353806062409</c:v>
                </c:pt>
                <c:pt idx="7">
                  <c:v>9.8697342189426269</c:v>
                </c:pt>
                <c:pt idx="8">
                  <c:v>9.9098474331315103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68-4FFD-B08A-9A84B404E7BC}"/>
            </c:ext>
          </c:extLst>
        </c:ser>
        <c:ser>
          <c:idx val="13"/>
          <c:order val="13"/>
          <c:tx>
            <c:strRef>
              <c:f>'Out Sample Forecast Summary'!$R$2</c:f>
              <c:strCache>
                <c:ptCount val="1"/>
                <c:pt idx="0">
                  <c:v>Forecasted Price (With Dividend)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Summary'!$R$3:$R$12</c15:sqref>
                  </c15:fullRef>
                </c:ext>
              </c:extLst>
              <c:f>'Out Sample Forecast Summary'!$R$4:$R$12</c:f>
              <c:numCache>
                <c:formatCode>General</c:formatCode>
                <c:ptCount val="9"/>
                <c:pt idx="0">
                  <c:v>9.8581624685135214</c:v>
                </c:pt>
                <c:pt idx="1">
                  <c:v>9.7882539586411674</c:v>
                </c:pt>
                <c:pt idx="2">
                  <c:v>9.8781998524091961</c:v>
                </c:pt>
                <c:pt idx="3">
                  <c:v>9.9880983320163619</c:v>
                </c:pt>
                <c:pt idx="4">
                  <c:v>9.9381108128875191</c:v>
                </c:pt>
                <c:pt idx="5">
                  <c:v>9.8781082933947602</c:v>
                </c:pt>
                <c:pt idx="6">
                  <c:v>9.8882030843109519</c:v>
                </c:pt>
                <c:pt idx="7">
                  <c:v>9.858239034228518</c:v>
                </c:pt>
                <c:pt idx="8">
                  <c:v>9.8981383934951328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68-4FFD-B08A-9A84B404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3951"/>
        <c:axId val="4204515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'Out Sample Forecast Summary'!$B$2</c15:sqref>
                        </c15:formulaRef>
                      </c:ext>
                    </c:extLst>
                    <c:strCache>
                      <c:ptCount val="1"/>
                      <c:pt idx="0">
                        <c:v>Actual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Summary'!$B$3:$B$12</c15:sqref>
                        </c15:fullRef>
                        <c15:formulaRef>
                          <c15:sqref>'Out Sample Forecast Summary'!$B$4:$B$12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9.8000000000000007</c:v>
                      </c:pt>
                      <c:pt idx="1">
                        <c:v>9.89</c:v>
                      </c:pt>
                      <c:pt idx="2">
                        <c:v>10</c:v>
                      </c:pt>
                      <c:pt idx="3">
                        <c:v>9.9499999999999993</c:v>
                      </c:pt>
                      <c:pt idx="4">
                        <c:v>9.89</c:v>
                      </c:pt>
                      <c:pt idx="5">
                        <c:v>9.9</c:v>
                      </c:pt>
                      <c:pt idx="6">
                        <c:v>9.8699999999999992</c:v>
                      </c:pt>
                      <c:pt idx="7">
                        <c:v>9.91</c:v>
                      </c:pt>
                      <c:pt idx="8">
                        <c:v>9.93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E68-4FFD-B08A-9A84B404E7B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Summary'!$J$2</c15:sqref>
                        </c15:formulaRef>
                      </c:ext>
                    </c:extLst>
                    <c:strCache>
                      <c:ptCount val="1"/>
                      <c:pt idx="0">
                        <c:v>Average Price (Rolling)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Summary'!$J$3:$J$12</c15:sqref>
                        </c15:fullRef>
                        <c15:formulaRef>
                          <c15:sqref>'Out Sample Forecast Summary'!$J$4:$J$12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10.090769230769229</c:v>
                      </c:pt>
                      <c:pt idx="1">
                        <c:v>10.079038461538461</c:v>
                      </c:pt>
                      <c:pt idx="2">
                        <c:v>10.069423076923076</c:v>
                      </c:pt>
                      <c:pt idx="3">
                        <c:v>10.057692307692308</c:v>
                      </c:pt>
                      <c:pt idx="4">
                        <c:v>10.042884615384615</c:v>
                      </c:pt>
                      <c:pt idx="5">
                        <c:v>10.030576923076922</c:v>
                      </c:pt>
                      <c:pt idx="6">
                        <c:v>10.020384615384614</c:v>
                      </c:pt>
                      <c:pt idx="7">
                        <c:v>10.009038461538463</c:v>
                      </c:pt>
                      <c:pt idx="8">
                        <c:v>10.000769230769233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68-4FFD-B08A-9A84B404E7B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Summary'!$P$2</c15:sqref>
                        </c15:formulaRef>
                      </c:ext>
                    </c:extLst>
                    <c:strCache>
                      <c:ptCount val="1"/>
                      <c:pt idx="0">
                        <c:v>Upper Limit (CI)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Summary'!$P$3:$P$12</c15:sqref>
                        </c15:fullRef>
                        <c15:formulaRef>
                          <c15:sqref>'Out Sample Forecast Summary'!$P$4:$P$12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9.8920844818466751</c:v>
                      </c:pt>
                      <c:pt idx="1">
                        <c:v>9.8253143501904869</c:v>
                      </c:pt>
                      <c:pt idx="2">
                        <c:v>9.918095122261839</c:v>
                      </c:pt>
                      <c:pt idx="3">
                        <c:v>10.026296557572467</c:v>
                      </c:pt>
                      <c:pt idx="4">
                        <c:v>9.973038623700031</c:v>
                      </c:pt>
                      <c:pt idx="5">
                        <c:v>9.9149628244989021</c:v>
                      </c:pt>
                      <c:pt idx="6">
                        <c:v>9.9269216107929932</c:v>
                      </c:pt>
                      <c:pt idx="7">
                        <c:v>9.8954194349659534</c:v>
                      </c:pt>
                      <c:pt idx="8">
                        <c:v>9.9383028740673343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E68-4FFD-B08A-9A84B404E7B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Summary'!$S$2</c15:sqref>
                        </c15:formulaRef>
                      </c:ext>
                    </c:extLst>
                    <c:strCache>
                      <c:ptCount val="1"/>
                      <c:pt idx="0">
                        <c:v>Percentage Error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Summary'!$S$3:$S$12</c15:sqref>
                        </c15:fullRef>
                        <c15:formulaRef>
                          <c15:sqref>'Out Sample Forecast Summary'!$S$4:$S$12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-7.1250723777873714E-3</c:v>
                      </c:pt>
                      <c:pt idx="1">
                        <c:v>9.1390651571881185E-3</c:v>
                      </c:pt>
                      <c:pt idx="2">
                        <c:v>1.1022614528699215E-2</c:v>
                      </c:pt>
                      <c:pt idx="3">
                        <c:v>-5.0032432017772166E-3</c:v>
                      </c:pt>
                      <c:pt idx="4">
                        <c:v>-6.0466035762419207E-3</c:v>
                      </c:pt>
                      <c:pt idx="5">
                        <c:v>1.0409676150097415E-3</c:v>
                      </c:pt>
                      <c:pt idx="6">
                        <c:v>-3.0329666267722068E-3</c:v>
                      </c:pt>
                      <c:pt idx="7">
                        <c:v>4.0631464235492652E-3</c:v>
                      </c:pt>
                      <c:pt idx="8">
                        <c:v>2.0294629273403253E-3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E68-4FFD-B08A-9A84B404E7B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Summary'!$T$2</c15:sqref>
                        </c15:formulaRef>
                      </c:ext>
                    </c:extLst>
                    <c:strCache>
                      <c:ptCount val="1"/>
                      <c:pt idx="0">
                        <c:v>Percentage Error (Dividend)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Summary'!$T$3:$T$12</c15:sqref>
                        </c15:fullRef>
                        <c15:formulaRef>
                          <c15:sqref>'Out Sample Forecast Summary'!$T$4:$T$12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-5.9349457666857848E-3</c:v>
                      </c:pt>
                      <c:pt idx="1">
                        <c:v>1.028776960149981E-2</c:v>
                      </c:pt>
                      <c:pt idx="2">
                        <c:v>1.2180014759080393E-2</c:v>
                      </c:pt>
                      <c:pt idx="3">
                        <c:v>-3.8289780920967432E-3</c:v>
                      </c:pt>
                      <c:pt idx="4">
                        <c:v>-4.8645917985357433E-3</c:v>
                      </c:pt>
                      <c:pt idx="5">
                        <c:v>2.2112834954788082E-3</c:v>
                      </c:pt>
                      <c:pt idx="6">
                        <c:v>-1.8442841247165789E-3</c:v>
                      </c:pt>
                      <c:pt idx="7">
                        <c:v>5.2231045178084915E-3</c:v>
                      </c:pt>
                      <c:pt idx="8">
                        <c:v>3.2086209974689743E-3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E68-4FFD-B08A-9A84B404E7BC}"/>
                  </c:ext>
                </c:extLst>
              </c15:ser>
            </c15:filteredLineSeries>
          </c:ext>
        </c:extLst>
      </c:lineChart>
      <c:catAx>
        <c:axId val="420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1551"/>
        <c:crosses val="autoZero"/>
        <c:auto val="1"/>
        <c:lblAlgn val="ctr"/>
        <c:lblOffset val="100"/>
        <c:noMultiLvlLbl val="0"/>
      </c:catAx>
      <c:valAx>
        <c:axId val="420451551"/>
        <c:scaling>
          <c:orientation val="minMax"/>
          <c:max val="10.050000000000001"/>
          <c:min val="9.75000000000000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3951"/>
        <c:crosses val="autoZero"/>
        <c:crossBetween val="between"/>
      </c:valAx>
      <c:valAx>
        <c:axId val="1551380768"/>
        <c:scaling>
          <c:orientation val="minMax"/>
          <c:max val="10.15"/>
          <c:min val="9.75"/>
        </c:scaling>
        <c:delete val="1"/>
        <c:axPos val="r"/>
        <c:numFmt formatCode="General" sourceLinked="1"/>
        <c:majorTickMark val="out"/>
        <c:minorTickMark val="none"/>
        <c:tickLblPos val="nextTo"/>
        <c:crossAx val="1551384128"/>
        <c:crosses val="max"/>
        <c:crossBetween val="between"/>
      </c:valAx>
      <c:catAx>
        <c:axId val="155138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5138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669776272664667"/>
          <c:y val="0.84781259174430146"/>
          <c:w val="0.71478424226885939"/>
          <c:h val="0.1182705810094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Forecasted Price</a:t>
            </a:r>
            <a:r>
              <a:rPr lang="en-MY" baseline="0"/>
              <a:t> With Dividend and 1 Year Average Price 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0361843898343"/>
          <c:y val="0.13195575879680779"/>
          <c:w val="0.85459527394141988"/>
          <c:h val="0.59221913077386812"/>
        </c:manualLayout>
      </c:layou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20453951"/>
        <c:axId val="420451551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 Sample Forecast Summary'!$C$2</c15:sqref>
                        </c15:formulaRef>
                      </c:ext>
                    </c:extLst>
                    <c:strCache>
                      <c:ptCount val="1"/>
                      <c:pt idx="0">
                        <c:v>Vol. (M)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Summary'!$C$3:$C$12</c15:sqref>
                        </c15:fullRef>
                        <c15:formulaRef>
                          <c15:sqref>'Out Sample Forecast Summary'!$C$4:$C$12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33.54</c:v>
                      </c:pt>
                      <c:pt idx="1">
                        <c:v>50.26</c:v>
                      </c:pt>
                      <c:pt idx="2">
                        <c:v>54.95</c:v>
                      </c:pt>
                      <c:pt idx="3">
                        <c:v>37.35</c:v>
                      </c:pt>
                      <c:pt idx="4">
                        <c:v>53.41</c:v>
                      </c:pt>
                      <c:pt idx="5">
                        <c:v>43.01</c:v>
                      </c:pt>
                      <c:pt idx="6">
                        <c:v>47.13</c:v>
                      </c:pt>
                      <c:pt idx="7">
                        <c:v>56.07</c:v>
                      </c:pt>
                      <c:pt idx="8">
                        <c:v>47.19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1A6-4228-9100-CF77F85E770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Summary'!$D$2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Summary'!$D$3:$D$12</c15:sqref>
                        </c15:fullRef>
                        <c15:formulaRef>
                          <c15:sqref>'Out Sample Forecast Summary'!$D$4:$D$12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-7.1000000000000004E-3</c:v>
                      </c:pt>
                      <c:pt idx="1">
                        <c:v>9.1999999999999998E-3</c:v>
                      </c:pt>
                      <c:pt idx="2">
                        <c:v>1.11E-2</c:v>
                      </c:pt>
                      <c:pt idx="3">
                        <c:v>-5.0000000000000001E-3</c:v>
                      </c:pt>
                      <c:pt idx="4">
                        <c:v>-6.0000000000000001E-3</c:v>
                      </c:pt>
                      <c:pt idx="5">
                        <c:v>1E-3</c:v>
                      </c:pt>
                      <c:pt idx="6">
                        <c:v>-3.0000000000000001E-3</c:v>
                      </c:pt>
                      <c:pt idx="7">
                        <c:v>4.1000000000000003E-3</c:v>
                      </c:pt>
                      <c:pt idx="8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1A6-4228-9100-CF77F85E770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Summary'!$E$2</c15:sqref>
                        </c15:formulaRef>
                      </c:ext>
                    </c:extLst>
                    <c:strCache>
                      <c:ptCount val="1"/>
                      <c:pt idx="0">
                        <c:v>Weekly Log Return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Summary'!$E$3:$E$12</c15:sqref>
                        </c15:fullRef>
                        <c15:formulaRef>
                          <c15:sqref>'Out Sample Forecast Summary'!$E$4:$E$12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-7.1174677688638785E-3</c:v>
                      </c:pt>
                      <c:pt idx="1">
                        <c:v>9.1417599580945093E-3</c:v>
                      </c:pt>
                      <c:pt idx="2">
                        <c:v>1.1060947359424976E-2</c:v>
                      </c:pt>
                      <c:pt idx="3">
                        <c:v>-5.0125418235443982E-3</c:v>
                      </c:pt>
                      <c:pt idx="4">
                        <c:v>-6.0484055358804812E-3</c:v>
                      </c:pt>
                      <c:pt idx="5">
                        <c:v>1.0106115059234598E-3</c:v>
                      </c:pt>
                      <c:pt idx="6">
                        <c:v>-3.0349036951541584E-3</c:v>
                      </c:pt>
                      <c:pt idx="7">
                        <c:v>4.0444948965064438E-3</c:v>
                      </c:pt>
                      <c:pt idx="8">
                        <c:v>2.0161297151844956E-3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1A6-4228-9100-CF77F85E770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Summary'!$F$2</c15:sqref>
                        </c15:formulaRef>
                      </c:ext>
                    </c:extLst>
                    <c:strCache>
                      <c:ptCount val="1"/>
                      <c:pt idx="0">
                        <c:v>Raw Drift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Summary'!$F$3:$F$12</c15:sqref>
                        </c15:fullRef>
                        <c15:formulaRef>
                          <c15:sqref>'Out Sample Forecast Summary'!$F$4:$F$12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-1.5090695277210678E-3</c:v>
                      </c:pt>
                      <c:pt idx="1">
                        <c:v>-1.1509829140164862E-3</c:v>
                      </c:pt>
                      <c:pt idx="2">
                        <c:v>-9.3827238787369831E-4</c:v>
                      </c:pt>
                      <c:pt idx="3">
                        <c:v>-1.1442447520695097E-3</c:v>
                      </c:pt>
                      <c:pt idx="4">
                        <c:v>-1.4418129442899633E-3</c:v>
                      </c:pt>
                      <c:pt idx="5">
                        <c:v>-1.2046689610129291E-3</c:v>
                      </c:pt>
                      <c:pt idx="6">
                        <c:v>-1.0058837058064861E-3</c:v>
                      </c:pt>
                      <c:pt idx="7">
                        <c:v>-1.1121328619534904E-3</c:v>
                      </c:pt>
                      <c:pt idx="8">
                        <c:v>-8.1522613027415827E-4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1A6-4228-9100-CF77F85E770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Summary'!$G$2</c15:sqref>
                        </c15:formulaRef>
                      </c:ext>
                    </c:extLst>
                    <c:strCache>
                      <c:ptCount val="1"/>
                      <c:pt idx="0">
                        <c:v>Volatility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Summary'!$G$3:$G$12</c15:sqref>
                        </c15:fullRef>
                        <c15:formulaRef>
                          <c15:sqref>'Out Sample Forecast Summary'!$G$4:$G$12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1.3846819876785642E-2</c:v>
                      </c:pt>
                      <c:pt idx="1">
                        <c:v>1.3877412993345967E-2</c:v>
                      </c:pt>
                      <c:pt idx="2">
                        <c:v>1.3979793443020059E-2</c:v>
                      </c:pt>
                      <c:pt idx="3">
                        <c:v>1.3958986886799286E-2</c:v>
                      </c:pt>
                      <c:pt idx="4">
                        <c:v>1.3894034207366939E-2</c:v>
                      </c:pt>
                      <c:pt idx="5">
                        <c:v>1.3827188110071628E-2</c:v>
                      </c:pt>
                      <c:pt idx="6">
                        <c:v>1.3722748458417961E-2</c:v>
                      </c:pt>
                      <c:pt idx="7">
                        <c:v>1.3660510343812229E-2</c:v>
                      </c:pt>
                      <c:pt idx="8">
                        <c:v>1.3555066178580752E-2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1A6-4228-9100-CF77F85E770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Summary'!$H$2</c15:sqref>
                        </c15:formulaRef>
                      </c:ext>
                    </c:extLst>
                    <c:strCache>
                      <c:ptCount val="1"/>
                      <c:pt idx="0">
                        <c:v>Annualised Volatility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Summary'!$H$3:$H$12</c15:sqref>
                        </c15:fullRef>
                        <c15:formulaRef>
                          <c15:sqref>'Out Sample Forecast Summary'!$H$4:$H$12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1.9202084256870998E-3</c:v>
                      </c:pt>
                      <c:pt idx="1">
                        <c:v>1.9244509276268881E-3</c:v>
                      </c:pt>
                      <c:pt idx="2">
                        <c:v>1.9386485415078497E-3</c:v>
                      </c:pt>
                      <c:pt idx="3">
                        <c:v>1.9357631913032411E-3</c:v>
                      </c:pt>
                      <c:pt idx="4">
                        <c:v>1.9267558752966219E-3</c:v>
                      </c:pt>
                      <c:pt idx="5">
                        <c:v>1.9174859894749718E-3</c:v>
                      </c:pt>
                      <c:pt idx="6">
                        <c:v>1.9030028156584761E-3</c:v>
                      </c:pt>
                      <c:pt idx="7">
                        <c:v>1.8943719420623541E-3</c:v>
                      </c:pt>
                      <c:pt idx="8">
                        <c:v>1.8797494672761776E-3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1A6-4228-9100-CF77F85E770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Summary'!$I$2</c15:sqref>
                        </c15:formulaRef>
                      </c:ext>
                    </c:extLst>
                    <c:strCache>
                      <c:ptCount val="1"/>
                      <c:pt idx="0">
                        <c:v>Market Drift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Summary'!$I$3:$I$12</c15:sqref>
                        </c15:fullRef>
                        <c15:formulaRef>
                          <c15:sqref>'Out Sample Forecast Summary'!$I$4:$I$12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-1.5109131279201077E-3</c:v>
                      </c:pt>
                      <c:pt idx="1">
                        <c:v>-1.1528346697029083E-3</c:v>
                      </c:pt>
                      <c:pt idx="2">
                        <c:v>-9.4015156695744352E-4</c:v>
                      </c:pt>
                      <c:pt idx="3">
                        <c:v>-1.1461183416359121E-3</c:v>
                      </c:pt>
                      <c:pt idx="4">
                        <c:v>-1.4436691383914583E-3</c:v>
                      </c:pt>
                      <c:pt idx="5">
                        <c:v>-1.2065073372728454E-3</c:v>
                      </c:pt>
                      <c:pt idx="6">
                        <c:v>-1.0076944156646882E-3</c:v>
                      </c:pt>
                      <c:pt idx="7">
                        <c:v>-1.1139271844809269E-3</c:v>
                      </c:pt>
                      <c:pt idx="8">
                        <c:v>-8.1699285930402084E-4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1A6-4228-9100-CF77F85E770C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Summary'!$O$2</c15:sqref>
                        </c15:formulaRef>
                      </c:ext>
                    </c:extLst>
                    <c:strCache>
                      <c:ptCount val="1"/>
                      <c:pt idx="0">
                        <c:v>Lower Limit (CI)</c:v>
                      </c:pt>
                    </c:strCache>
                  </c:strRef>
                </c:tx>
                <c:spPr>
                  <a:noFill/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Summary'!$O$3:$O$12</c15:sqref>
                        </c15:fullRef>
                        <c15:formulaRef>
                          <c15:sqref>'Out Sample Forecast Summary'!$O$4:$O$12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9.817904151058455</c:v>
                      </c:pt>
                      <c:pt idx="1">
                        <c:v>9.7514725515850209</c:v>
                      </c:pt>
                      <c:pt idx="2">
                        <c:v>9.8430082086962507</c:v>
                      </c:pt>
                      <c:pt idx="3">
                        <c:v>9.9505030287531291</c:v>
                      </c:pt>
                      <c:pt idx="4">
                        <c:v>9.89799717588334</c:v>
                      </c:pt>
                      <c:pt idx="5">
                        <c:v>9.8407159490368077</c:v>
                      </c:pt>
                      <c:pt idx="6">
                        <c:v>9.8531445705141358</c:v>
                      </c:pt>
                      <c:pt idx="7">
                        <c:v>9.8222088287723608</c:v>
                      </c:pt>
                      <c:pt idx="8">
                        <c:v>9.865340463692851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1A6-4228-9100-CF77F85E770C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Summary'!$Q$2</c15:sqref>
                        </c15:formulaRef>
                      </c:ext>
                    </c:extLst>
                    <c:strCache>
                      <c:ptCount val="1"/>
                      <c:pt idx="0">
                        <c:v>Confidence Interval (Forecasted Price)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  <a:alpha val="4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Summary'!$Q$3:$Q$12</c15:sqref>
                        </c15:fullRef>
                        <c15:formulaRef>
                          <c15:sqref>'Out Sample Forecast Summary'!$Q$4:$Q$12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7.4180330788220061E-2</c:v>
                      </c:pt>
                      <c:pt idx="1">
                        <c:v>7.3841798605466025E-2</c:v>
                      </c:pt>
                      <c:pt idx="2">
                        <c:v>7.5086913565588276E-2</c:v>
                      </c:pt>
                      <c:pt idx="3">
                        <c:v>7.5793528819337652E-2</c:v>
                      </c:pt>
                      <c:pt idx="4">
                        <c:v>7.5041447816690976E-2</c:v>
                      </c:pt>
                      <c:pt idx="5">
                        <c:v>7.4246875462094408E-2</c:v>
                      </c:pt>
                      <c:pt idx="6">
                        <c:v>7.3777040278857342E-2</c:v>
                      </c:pt>
                      <c:pt idx="7">
                        <c:v>7.3210606193592653E-2</c:v>
                      </c:pt>
                      <c:pt idx="8">
                        <c:v>7.2962410374483255E-2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A6-4228-9100-CF77F85E770C}"/>
                  </c:ext>
                </c:extLst>
              </c15:ser>
            </c15:filteredAreaSeries>
          </c:ext>
        </c:extLst>
      </c:areaChart>
      <c:areaChart>
        <c:grouping val="stacked"/>
        <c:varyColors val="0"/>
        <c:ser>
          <c:idx val="16"/>
          <c:order val="16"/>
          <c:tx>
            <c:strRef>
              <c:f>'Out Sample Forecast Summary'!$K$2</c:f>
              <c:strCache>
                <c:ptCount val="1"/>
                <c:pt idx="0">
                  <c:v>Lower Limit (CI)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Summary'!$K$3:$K$12</c15:sqref>
                  </c15:fullRef>
                </c:ext>
              </c:extLst>
              <c:f>'Out Sample Forecast Summary'!$K$4:$K$12</c:f>
              <c:numCache>
                <c:formatCode>General</c:formatCode>
                <c:ptCount val="9"/>
                <c:pt idx="0">
                  <c:v>10.037685369131536</c:v>
                </c:pt>
                <c:pt idx="1">
                  <c:v>10.029523655630475</c:v>
                </c:pt>
                <c:pt idx="2">
                  <c:v>10.021807925947309</c:v>
                </c:pt>
                <c:pt idx="3">
                  <c:v>10.008127684102435</c:v>
                </c:pt>
                <c:pt idx="4">
                  <c:v>9.9905962406943178</c:v>
                </c:pt>
                <c:pt idx="5">
                  <c:v>9.9809007343283778</c:v>
                </c:pt>
                <c:pt idx="6">
                  <c:v>9.9730245170038909</c:v>
                </c:pt>
                <c:pt idx="7">
                  <c:v>9.9608422844619966</c:v>
                </c:pt>
                <c:pt idx="8">
                  <c:v>9.9558539146132237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6-4228-9100-CF77F85E770C}"/>
            </c:ext>
          </c:extLst>
        </c:ser>
        <c:ser>
          <c:idx val="17"/>
          <c:order val="17"/>
          <c:tx>
            <c:strRef>
              <c:f>'Out Sample Forecast Summary'!$M$2</c:f>
              <c:strCache>
                <c:ptCount val="1"/>
                <c:pt idx="0">
                  <c:v>Confidence Interval (Avg Price)</c:v>
                </c:pt>
              </c:strCache>
            </c:strRef>
          </c:tx>
          <c:spPr>
            <a:solidFill>
              <a:srgbClr val="CFAFE7">
                <a:alpha val="77000"/>
              </a:srgbClr>
            </a:solidFill>
            <a:ln>
              <a:noFill/>
            </a:ln>
            <a:effectLst/>
          </c:spP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Summary'!$M$3:$M$12</c15:sqref>
                  </c15:fullRef>
                </c:ext>
              </c:extLst>
              <c:f>'Out Sample Forecast Summary'!$M$4:$M$12</c:f>
              <c:numCache>
                <c:formatCode>General</c:formatCode>
                <c:ptCount val="9"/>
                <c:pt idx="0">
                  <c:v>7.5840913658744569E-2</c:v>
                </c:pt>
                <c:pt idx="1">
                  <c:v>7.5947305596162806E-2</c:v>
                </c:pt>
                <c:pt idx="2">
                  <c:v>7.6450878588286031E-2</c:v>
                </c:pt>
                <c:pt idx="3">
                  <c:v>7.6232458988325646E-2</c:v>
                </c:pt>
                <c:pt idx="4">
                  <c:v>7.574348558922317E-2</c:v>
                </c:pt>
                <c:pt idx="5">
                  <c:v>7.5304550772418821E-2</c:v>
                </c:pt>
                <c:pt idx="6">
                  <c:v>7.4674661091940209E-2</c:v>
                </c:pt>
                <c:pt idx="7">
                  <c:v>7.4243921561519599E-2</c:v>
                </c:pt>
                <c:pt idx="8">
                  <c:v>7.3631832740062464E-2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A6-4228-9100-CF77F85E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84128"/>
        <c:axId val="1551380768"/>
      </c:areaChart>
      <c:lineChart>
        <c:grouping val="standard"/>
        <c:varyColors val="0"/>
        <c:ser>
          <c:idx val="9"/>
          <c:order val="9"/>
          <c:tx>
            <c:strRef>
              <c:f>'Out Sample Forecast Summary'!$N$2</c:f>
              <c:strCache>
                <c:ptCount val="1"/>
                <c:pt idx="0">
                  <c:v>Forecasted 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Summary'!$N$3:$N$12</c15:sqref>
                  </c15:fullRef>
                </c:ext>
              </c:extLst>
              <c:f>'Out Sample Forecast Summary'!$N$4:$N$12</c:f>
              <c:numCache>
                <c:formatCode>General</c:formatCode>
                <c:ptCount val="9"/>
                <c:pt idx="0">
                  <c:v>9.869825709302317</c:v>
                </c:pt>
                <c:pt idx="1">
                  <c:v>9.7996146455954101</c:v>
                </c:pt>
                <c:pt idx="2">
                  <c:v>9.8897738547130079</c:v>
                </c:pt>
                <c:pt idx="3">
                  <c:v>9.9997822698576826</c:v>
                </c:pt>
                <c:pt idx="4">
                  <c:v>9.9498009093690332</c:v>
                </c:pt>
                <c:pt idx="5">
                  <c:v>9.8896944206114039</c:v>
                </c:pt>
                <c:pt idx="6">
                  <c:v>9.8999353806062409</c:v>
                </c:pt>
                <c:pt idx="7">
                  <c:v>9.8697342189426269</c:v>
                </c:pt>
                <c:pt idx="8">
                  <c:v>9.9098474331315103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A6-4228-9100-CF77F85E770C}"/>
            </c:ext>
          </c:extLst>
        </c:ser>
        <c:ser>
          <c:idx val="13"/>
          <c:order val="13"/>
          <c:tx>
            <c:strRef>
              <c:f>'Out Sample Forecast Summary'!$R$2</c:f>
              <c:strCache>
                <c:ptCount val="1"/>
                <c:pt idx="0">
                  <c:v>Forecasted Price (With Dividend)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'Out Sample Forecast Summary'!$A$3:$A$12</c15:sqref>
                  </c15:fullRef>
                </c:ext>
              </c:extLst>
              <c:f>'Out Sample Forecast Summary'!$A$4:$A$12</c:f>
              <c:strCache>
                <c:ptCount val="9"/>
                <c:pt idx="0">
                  <c:v>09/14/2025</c:v>
                </c:pt>
                <c:pt idx="1">
                  <c:v>09/21/2025</c:v>
                </c:pt>
                <c:pt idx="2">
                  <c:v>09/28/2025</c:v>
                </c:pt>
                <c:pt idx="3">
                  <c:v>10/5/2025</c:v>
                </c:pt>
                <c:pt idx="4">
                  <c:v>10/12/2025</c:v>
                </c:pt>
                <c:pt idx="5">
                  <c:v>10/19/2025</c:v>
                </c:pt>
                <c:pt idx="6">
                  <c:v>10/26/2025</c:v>
                </c:pt>
                <c:pt idx="7">
                  <c:v>11/2/2025</c:v>
                </c:pt>
                <c:pt idx="8">
                  <c:v>11/9/2025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'Out Sample Forecast Summary'!$R$3:$R$12</c15:sqref>
                  </c15:fullRef>
                </c:ext>
              </c:extLst>
              <c:f>'Out Sample Forecast Summary'!$R$4:$R$12</c:f>
              <c:numCache>
                <c:formatCode>General</c:formatCode>
                <c:ptCount val="9"/>
                <c:pt idx="0">
                  <c:v>9.8581624685135214</c:v>
                </c:pt>
                <c:pt idx="1">
                  <c:v>9.7882539586411674</c:v>
                </c:pt>
                <c:pt idx="2">
                  <c:v>9.8781998524091961</c:v>
                </c:pt>
                <c:pt idx="3">
                  <c:v>9.9880983320163619</c:v>
                </c:pt>
                <c:pt idx="4">
                  <c:v>9.9381108128875191</c:v>
                </c:pt>
                <c:pt idx="5">
                  <c:v>9.8781082933947602</c:v>
                </c:pt>
                <c:pt idx="6">
                  <c:v>9.8882030843109519</c:v>
                </c:pt>
                <c:pt idx="7">
                  <c:v>9.858239034228518</c:v>
                </c:pt>
                <c:pt idx="8">
                  <c:v>9.8981383934951328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A6-4228-9100-CF77F85E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3951"/>
        <c:axId val="4204515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'Out Sample Forecast Summary'!$B$2</c15:sqref>
                        </c15:formulaRef>
                      </c:ext>
                    </c:extLst>
                    <c:strCache>
                      <c:ptCount val="1"/>
                      <c:pt idx="0">
                        <c:v>Actual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'Out Sample Forecast Summary'!$B$3:$B$12</c15:sqref>
                        </c15:fullRef>
                        <c15:formulaRef>
                          <c15:sqref>'Out Sample Forecast Summary'!$B$4:$B$12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9.8000000000000007</c:v>
                      </c:pt>
                      <c:pt idx="1">
                        <c:v>9.89</c:v>
                      </c:pt>
                      <c:pt idx="2">
                        <c:v>10</c:v>
                      </c:pt>
                      <c:pt idx="3">
                        <c:v>9.9499999999999993</c:v>
                      </c:pt>
                      <c:pt idx="4">
                        <c:v>9.89</c:v>
                      </c:pt>
                      <c:pt idx="5">
                        <c:v>9.9</c:v>
                      </c:pt>
                      <c:pt idx="6">
                        <c:v>9.8699999999999992</c:v>
                      </c:pt>
                      <c:pt idx="7">
                        <c:v>9.91</c:v>
                      </c:pt>
                      <c:pt idx="8">
                        <c:v>9.93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1A6-4228-9100-CF77F85E770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Summary'!$J$2</c15:sqref>
                        </c15:formulaRef>
                      </c:ext>
                    </c:extLst>
                    <c:strCache>
                      <c:ptCount val="1"/>
                      <c:pt idx="0">
                        <c:v>Average Price (Rolling)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Summary'!$J$3:$J$12</c15:sqref>
                        </c15:fullRef>
                        <c15:formulaRef>
                          <c15:sqref>'Out Sample Forecast Summary'!$J$4:$J$12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10.090769230769229</c:v>
                      </c:pt>
                      <c:pt idx="1">
                        <c:v>10.079038461538461</c:v>
                      </c:pt>
                      <c:pt idx="2">
                        <c:v>10.069423076923076</c:v>
                      </c:pt>
                      <c:pt idx="3">
                        <c:v>10.057692307692308</c:v>
                      </c:pt>
                      <c:pt idx="4">
                        <c:v>10.042884615384615</c:v>
                      </c:pt>
                      <c:pt idx="5">
                        <c:v>10.030576923076922</c:v>
                      </c:pt>
                      <c:pt idx="6">
                        <c:v>10.020384615384614</c:v>
                      </c:pt>
                      <c:pt idx="7">
                        <c:v>10.009038461538463</c:v>
                      </c:pt>
                      <c:pt idx="8">
                        <c:v>10.000769230769233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1A6-4228-9100-CF77F85E770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Summary'!$P$2</c15:sqref>
                        </c15:formulaRef>
                      </c:ext>
                    </c:extLst>
                    <c:strCache>
                      <c:ptCount val="1"/>
                      <c:pt idx="0">
                        <c:v>Upper Limit (CI)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Summary'!$P$3:$P$12</c15:sqref>
                        </c15:fullRef>
                        <c15:formulaRef>
                          <c15:sqref>'Out Sample Forecast Summary'!$P$4:$P$12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9.8920844818466751</c:v>
                      </c:pt>
                      <c:pt idx="1">
                        <c:v>9.8253143501904869</c:v>
                      </c:pt>
                      <c:pt idx="2">
                        <c:v>9.918095122261839</c:v>
                      </c:pt>
                      <c:pt idx="3">
                        <c:v>10.026296557572467</c:v>
                      </c:pt>
                      <c:pt idx="4">
                        <c:v>9.973038623700031</c:v>
                      </c:pt>
                      <c:pt idx="5">
                        <c:v>9.9149628244989021</c:v>
                      </c:pt>
                      <c:pt idx="6">
                        <c:v>9.9269216107929932</c:v>
                      </c:pt>
                      <c:pt idx="7">
                        <c:v>9.8954194349659534</c:v>
                      </c:pt>
                      <c:pt idx="8">
                        <c:v>9.9383028740673343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1A6-4228-9100-CF77F85E770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Summary'!$S$2</c15:sqref>
                        </c15:formulaRef>
                      </c:ext>
                    </c:extLst>
                    <c:strCache>
                      <c:ptCount val="1"/>
                      <c:pt idx="0">
                        <c:v>Percentage Error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Summary'!$S$3:$S$12</c15:sqref>
                        </c15:fullRef>
                        <c15:formulaRef>
                          <c15:sqref>'Out Sample Forecast Summary'!$S$4:$S$12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-7.1250723777873714E-3</c:v>
                      </c:pt>
                      <c:pt idx="1">
                        <c:v>9.1390651571881185E-3</c:v>
                      </c:pt>
                      <c:pt idx="2">
                        <c:v>1.1022614528699215E-2</c:v>
                      </c:pt>
                      <c:pt idx="3">
                        <c:v>-5.0032432017772166E-3</c:v>
                      </c:pt>
                      <c:pt idx="4">
                        <c:v>-6.0466035762419207E-3</c:v>
                      </c:pt>
                      <c:pt idx="5">
                        <c:v>1.0409676150097415E-3</c:v>
                      </c:pt>
                      <c:pt idx="6">
                        <c:v>-3.0329666267722068E-3</c:v>
                      </c:pt>
                      <c:pt idx="7">
                        <c:v>4.0631464235492652E-3</c:v>
                      </c:pt>
                      <c:pt idx="8">
                        <c:v>2.0294629273403253E-3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1A6-4228-9100-CF77F85E770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 Sample Forecast Summary'!$T$2</c15:sqref>
                        </c15:formulaRef>
                      </c:ext>
                    </c:extLst>
                    <c:strCache>
                      <c:ptCount val="1"/>
                      <c:pt idx="0">
                        <c:v>Percentage Error (Dividend)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Summary'!$A$3:$A$12</c15:sqref>
                        </c15:fullRef>
                        <c15:formulaRef>
                          <c15:sqref>'Out Sample Forecast Summary'!$A$4:$A$12</c15:sqref>
                        </c15:formulaRef>
                      </c:ext>
                    </c:extLst>
                    <c:strCache>
                      <c:ptCount val="9"/>
                      <c:pt idx="0">
                        <c:v>09/14/2025</c:v>
                      </c:pt>
                      <c:pt idx="1">
                        <c:v>09/21/2025</c:v>
                      </c:pt>
                      <c:pt idx="2">
                        <c:v>09/28/2025</c:v>
                      </c:pt>
                      <c:pt idx="3">
                        <c:v>10/5/2025</c:v>
                      </c:pt>
                      <c:pt idx="4">
                        <c:v>10/12/2025</c:v>
                      </c:pt>
                      <c:pt idx="5">
                        <c:v>10/19/2025</c:v>
                      </c:pt>
                      <c:pt idx="6">
                        <c:v>10/26/2025</c:v>
                      </c:pt>
                      <c:pt idx="7">
                        <c:v>11/2/2025</c:v>
                      </c:pt>
                      <c:pt idx="8">
                        <c:v>11/9/2025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'Out Sample Forecast Summary'!$T$3:$T$12</c15:sqref>
                        </c15:fullRef>
                        <c15:formulaRef>
                          <c15:sqref>'Out Sample Forecast Summary'!$T$4:$T$12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-5.9349457666857848E-3</c:v>
                      </c:pt>
                      <c:pt idx="1">
                        <c:v>1.028776960149981E-2</c:v>
                      </c:pt>
                      <c:pt idx="2">
                        <c:v>1.2180014759080393E-2</c:v>
                      </c:pt>
                      <c:pt idx="3">
                        <c:v>-3.8289780920967432E-3</c:v>
                      </c:pt>
                      <c:pt idx="4">
                        <c:v>-4.8645917985357433E-3</c:v>
                      </c:pt>
                      <c:pt idx="5">
                        <c:v>2.2112834954788082E-3</c:v>
                      </c:pt>
                      <c:pt idx="6">
                        <c:v>-1.8442841247165789E-3</c:v>
                      </c:pt>
                      <c:pt idx="7">
                        <c:v>5.2231045178084915E-3</c:v>
                      </c:pt>
                      <c:pt idx="8">
                        <c:v>3.2086209974689743E-3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1A6-4228-9100-CF77F85E770C}"/>
                  </c:ext>
                </c:extLst>
              </c15:ser>
            </c15:filteredLineSeries>
          </c:ext>
        </c:extLst>
      </c:lineChart>
      <c:catAx>
        <c:axId val="420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1551"/>
        <c:crosses val="autoZero"/>
        <c:auto val="1"/>
        <c:lblAlgn val="ctr"/>
        <c:lblOffset val="100"/>
        <c:noMultiLvlLbl val="0"/>
      </c:catAx>
      <c:valAx>
        <c:axId val="420451551"/>
        <c:scaling>
          <c:orientation val="minMax"/>
          <c:max val="10.15"/>
          <c:min val="9.75000000000000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3951"/>
        <c:crosses val="autoZero"/>
        <c:crossBetween val="between"/>
      </c:valAx>
      <c:valAx>
        <c:axId val="1551380768"/>
        <c:scaling>
          <c:orientation val="minMax"/>
          <c:max val="10.15"/>
          <c:min val="9.75"/>
        </c:scaling>
        <c:delete val="1"/>
        <c:axPos val="r"/>
        <c:numFmt formatCode="General" sourceLinked="1"/>
        <c:majorTickMark val="out"/>
        <c:minorTickMark val="none"/>
        <c:tickLblPos val="nextTo"/>
        <c:crossAx val="1551384128"/>
        <c:crosses val="max"/>
        <c:crossBetween val="between"/>
      </c:valAx>
      <c:catAx>
        <c:axId val="155138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5138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825627578606859"/>
          <c:y val="0.85145748677627531"/>
          <c:w val="0.65049553430084017"/>
          <c:h val="0.1182705810094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15DE60-4C94-450F-B11F-3986C11D732D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CD211-149A-138D-DB93-6EB5058117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424296</xdr:colOff>
      <xdr:row>0</xdr:row>
      <xdr:rowOff>163368</xdr:rowOff>
    </xdr:from>
    <xdr:to>
      <xdr:col>20</xdr:col>
      <xdr:colOff>119496</xdr:colOff>
      <xdr:row>16</xdr:row>
      <xdr:rowOff>4330</xdr:rowOff>
    </xdr:to>
    <xdr:graphicFrame macro="">
      <xdr:nvGraphicFramePr>
        <xdr:cNvPr id="21" name="Carta 4">
          <a:extLst>
            <a:ext uri="{FF2B5EF4-FFF2-40B4-BE49-F238E27FC236}">
              <a16:creationId xmlns:a16="http://schemas.microsoft.com/office/drawing/2014/main" id="{485DDE43-CA1D-F716-A273-E5C616C8D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447675</xdr:colOff>
      <xdr:row>17</xdr:row>
      <xdr:rowOff>1</xdr:rowOff>
    </xdr:from>
    <xdr:to>
      <xdr:col>20</xdr:col>
      <xdr:colOff>142875</xdr:colOff>
      <xdr:row>33</xdr:row>
      <xdr:rowOff>17888</xdr:rowOff>
    </xdr:to>
    <xdr:graphicFrame macro="">
      <xdr:nvGraphicFramePr>
        <xdr:cNvPr id="27" name="Carta 1">
          <a:extLst>
            <a:ext uri="{FF2B5EF4-FFF2-40B4-BE49-F238E27FC236}">
              <a16:creationId xmlns:a16="http://schemas.microsoft.com/office/drawing/2014/main" id="{543915B0-F9B6-A981-DF39-28CB75DBFE0F}"/>
            </a:ext>
            <a:ext uri="{147F2762-F138-4A5C-976F-8EAC2B608ADB}">
              <a16:predDERef xmlns:a16="http://schemas.microsoft.com/office/drawing/2014/main" pred="{485DDE43-CA1D-F716-A273-E5C616C8D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390525</xdr:colOff>
      <xdr:row>34</xdr:row>
      <xdr:rowOff>19050</xdr:rowOff>
    </xdr:from>
    <xdr:to>
      <xdr:col>20</xdr:col>
      <xdr:colOff>85725</xdr:colOff>
      <xdr:row>49</xdr:row>
      <xdr:rowOff>47625</xdr:rowOff>
    </xdr:to>
    <xdr:graphicFrame macro="">
      <xdr:nvGraphicFramePr>
        <xdr:cNvPr id="33" name="Carta 2">
          <a:extLst>
            <a:ext uri="{FF2B5EF4-FFF2-40B4-BE49-F238E27FC236}">
              <a16:creationId xmlns:a16="http://schemas.microsoft.com/office/drawing/2014/main" id="{DCC97BF1-92F6-F1BA-F35D-46921BF4EF2D}"/>
            </a:ext>
            <a:ext uri="{147F2762-F138-4A5C-976F-8EAC2B608ADB}">
              <a16:predDERef xmlns:a16="http://schemas.microsoft.com/office/drawing/2014/main" pred="{543915B0-F9B6-A981-DF39-28CB75DBF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388794</xdr:colOff>
      <xdr:row>50</xdr:row>
      <xdr:rowOff>117474</xdr:rowOff>
    </xdr:from>
    <xdr:to>
      <xdr:col>20</xdr:col>
      <xdr:colOff>83994</xdr:colOff>
      <xdr:row>65</xdr:row>
      <xdr:rowOff>146050</xdr:rowOff>
    </xdr:to>
    <xdr:graphicFrame macro="">
      <xdr:nvGraphicFramePr>
        <xdr:cNvPr id="41" name="Carta 3">
          <a:extLst>
            <a:ext uri="{FF2B5EF4-FFF2-40B4-BE49-F238E27FC236}">
              <a16:creationId xmlns:a16="http://schemas.microsoft.com/office/drawing/2014/main" id="{6964E723-379C-52B1-0796-8AD326AC4343}"/>
            </a:ext>
            <a:ext uri="{147F2762-F138-4A5C-976F-8EAC2B608ADB}">
              <a16:predDERef xmlns:a16="http://schemas.microsoft.com/office/drawing/2014/main" pred="{DCC97BF1-92F6-F1BA-F35D-46921BF4E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123288</xdr:colOff>
      <xdr:row>0</xdr:row>
      <xdr:rowOff>39770</xdr:rowOff>
    </xdr:from>
    <xdr:to>
      <xdr:col>33</xdr:col>
      <xdr:colOff>553271</xdr:colOff>
      <xdr:row>19</xdr:row>
      <xdr:rowOff>53474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9528D-1882-8C24-CEA6-20134D18E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574109</xdr:colOff>
      <xdr:row>14</xdr:row>
      <xdr:rowOff>52191</xdr:rowOff>
    </xdr:from>
    <xdr:to>
      <xdr:col>11</xdr:col>
      <xdr:colOff>0</xdr:colOff>
      <xdr:row>32</xdr:row>
      <xdr:rowOff>43493</xdr:rowOff>
    </xdr:to>
    <xdr:graphicFrame macro="">
      <xdr:nvGraphicFramePr>
        <xdr:cNvPr id="41" name="Chart 113">
          <a:extLst>
            <a:ext uri="{FF2B5EF4-FFF2-40B4-BE49-F238E27FC236}">
              <a16:creationId xmlns:a16="http://schemas.microsoft.com/office/drawing/2014/main" id="{FE34F966-8509-42A0-B486-9F88407CC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565410</xdr:colOff>
      <xdr:row>14</xdr:row>
      <xdr:rowOff>52193</xdr:rowOff>
    </xdr:from>
    <xdr:to>
      <xdr:col>16</xdr:col>
      <xdr:colOff>1505857</xdr:colOff>
      <xdr:row>32</xdr:row>
      <xdr:rowOff>43495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47583-681C-4991-A10F-478B9626F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652397</xdr:colOff>
      <xdr:row>34</xdr:row>
      <xdr:rowOff>95685</xdr:rowOff>
    </xdr:from>
    <xdr:to>
      <xdr:col>10</xdr:col>
      <xdr:colOff>603955</xdr:colOff>
      <xdr:row>53</xdr:row>
      <xdr:rowOff>91991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DFC401-7559-4E98-BFC3-39BC5678D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526143</xdr:colOff>
      <xdr:row>34</xdr:row>
      <xdr:rowOff>95685</xdr:rowOff>
    </xdr:from>
    <xdr:to>
      <xdr:col>16</xdr:col>
      <xdr:colOff>1469572</xdr:colOff>
      <xdr:row>53</xdr:row>
      <xdr:rowOff>109389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FBB9C-FA31-419E-B92C-54B338E0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zoomScale="9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9" sqref="I19"/>
    </sheetView>
  </sheetViews>
  <sheetFormatPr defaultRowHeight="14.4" x14ac:dyDescent="0.3"/>
  <cols>
    <col min="1" max="1" width="10.5546875" bestFit="1" customWidth="1"/>
  </cols>
  <sheetData>
    <row r="1" spans="1:9" x14ac:dyDescent="0.3">
      <c r="A1" t="s">
        <v>0</v>
      </c>
      <c r="B1" t="s">
        <v>1</v>
      </c>
      <c r="C1" t="s">
        <v>98</v>
      </c>
      <c r="D1" t="s">
        <v>2</v>
      </c>
      <c r="E1" t="s">
        <v>3</v>
      </c>
      <c r="F1" t="s">
        <v>93</v>
      </c>
    </row>
    <row r="2" spans="1:9" x14ac:dyDescent="0.3">
      <c r="A2" s="1">
        <v>45139</v>
      </c>
      <c r="B2">
        <v>8.86</v>
      </c>
      <c r="C2">
        <v>40.61</v>
      </c>
      <c r="D2">
        <f>C2*1000000</f>
        <v>40610000</v>
      </c>
      <c r="E2" s="2">
        <v>1.03E-2</v>
      </c>
    </row>
    <row r="3" spans="1:9" x14ac:dyDescent="0.3">
      <c r="A3" t="s">
        <v>4</v>
      </c>
      <c r="B3">
        <v>8.8000000000000007</v>
      </c>
      <c r="C3">
        <v>53.28</v>
      </c>
      <c r="D3">
        <f t="shared" ref="D3:D66" si="0">C3*1000000</f>
        <v>53280000</v>
      </c>
      <c r="E3" s="2">
        <v>-6.7999999999999996E-3</v>
      </c>
      <c r="F3">
        <f>B3/B2-1</f>
        <v>-6.7720090293452717E-3</v>
      </c>
      <c r="H3" t="s">
        <v>95</v>
      </c>
      <c r="I3">
        <f>AVERAGE(B2:B150)</f>
        <v>9.584496644295303</v>
      </c>
    </row>
    <row r="4" spans="1:9" x14ac:dyDescent="0.3">
      <c r="A4" t="s">
        <v>5</v>
      </c>
      <c r="B4">
        <v>8.74</v>
      </c>
      <c r="C4">
        <v>18.440000000000001</v>
      </c>
      <c r="D4">
        <f t="shared" si="0"/>
        <v>18440000</v>
      </c>
      <c r="E4" s="2">
        <v>-6.7999999999999996E-3</v>
      </c>
      <c r="H4" t="s">
        <v>94</v>
      </c>
      <c r="I4">
        <f>_xlfn.STDEV.S(B2:B150)</f>
        <v>0.64605605589107207</v>
      </c>
    </row>
    <row r="5" spans="1:9" x14ac:dyDescent="0.3">
      <c r="A5" t="s">
        <v>6</v>
      </c>
      <c r="B5">
        <v>8.7100000000000009</v>
      </c>
      <c r="C5">
        <v>47.88</v>
      </c>
      <c r="D5">
        <f t="shared" si="0"/>
        <v>47880000</v>
      </c>
      <c r="E5" s="2">
        <v>-3.3999999999999998E-3</v>
      </c>
      <c r="H5" t="s">
        <v>96</v>
      </c>
      <c r="I5">
        <f>MAX(B2:B150)</f>
        <v>10.8</v>
      </c>
    </row>
    <row r="6" spans="1:9" x14ac:dyDescent="0.3">
      <c r="A6" s="1">
        <v>45048</v>
      </c>
      <c r="B6">
        <v>8.75</v>
      </c>
      <c r="C6">
        <v>37.659999999999997</v>
      </c>
      <c r="D6">
        <f t="shared" si="0"/>
        <v>37660000</v>
      </c>
      <c r="E6" s="2">
        <v>4.5999999999999999E-3</v>
      </c>
      <c r="H6" t="s">
        <v>97</v>
      </c>
      <c r="I6">
        <f>MIN(B2:B150)</f>
        <v>8.3800000000000008</v>
      </c>
    </row>
    <row r="7" spans="1:9" x14ac:dyDescent="0.3">
      <c r="A7" s="1">
        <v>45262</v>
      </c>
      <c r="B7">
        <v>8.75</v>
      </c>
      <c r="C7">
        <v>43.34</v>
      </c>
      <c r="D7">
        <f t="shared" si="0"/>
        <v>43340000</v>
      </c>
      <c r="E7" s="2">
        <v>0</v>
      </c>
    </row>
    <row r="8" spans="1:9" x14ac:dyDescent="0.3">
      <c r="A8" t="s">
        <v>7</v>
      </c>
      <c r="B8">
        <v>8.74</v>
      </c>
      <c r="C8">
        <v>22.05</v>
      </c>
      <c r="D8">
        <f t="shared" si="0"/>
        <v>22050000</v>
      </c>
      <c r="E8" s="2">
        <v>-1.1000000000000001E-3</v>
      </c>
    </row>
    <row r="9" spans="1:9" x14ac:dyDescent="0.3">
      <c r="A9" t="s">
        <v>8</v>
      </c>
      <c r="B9">
        <v>8.7100000000000009</v>
      </c>
      <c r="C9">
        <v>49.55</v>
      </c>
      <c r="D9">
        <f t="shared" si="0"/>
        <v>49550000</v>
      </c>
      <c r="E9" s="2">
        <v>-3.3999999999999998E-3</v>
      </c>
    </row>
    <row r="10" spans="1:9" x14ac:dyDescent="0.3">
      <c r="A10" s="1">
        <v>45049</v>
      </c>
      <c r="B10">
        <v>8.6999999999999993</v>
      </c>
      <c r="C10">
        <v>48.68</v>
      </c>
      <c r="D10">
        <f t="shared" si="0"/>
        <v>48680000</v>
      </c>
      <c r="E10" s="2">
        <v>-1.1000000000000001E-3</v>
      </c>
    </row>
    <row r="11" spans="1:9" x14ac:dyDescent="0.3">
      <c r="A11" s="1">
        <v>45263</v>
      </c>
      <c r="B11">
        <v>8.3800000000000008</v>
      </c>
      <c r="C11">
        <v>57.35</v>
      </c>
      <c r="D11">
        <f t="shared" si="0"/>
        <v>57350000</v>
      </c>
      <c r="E11" s="2">
        <v>-3.6799999999999999E-2</v>
      </c>
    </row>
    <row r="12" spans="1:9" x14ac:dyDescent="0.3">
      <c r="A12" t="s">
        <v>9</v>
      </c>
      <c r="B12">
        <v>8.43</v>
      </c>
      <c r="C12">
        <v>22.18</v>
      </c>
      <c r="D12">
        <f t="shared" si="0"/>
        <v>22180000</v>
      </c>
      <c r="E12" s="2">
        <v>6.0000000000000001E-3</v>
      </c>
    </row>
    <row r="13" spans="1:9" x14ac:dyDescent="0.3">
      <c r="A13" t="s">
        <v>10</v>
      </c>
      <c r="B13">
        <v>8.57</v>
      </c>
      <c r="C13">
        <v>25.09</v>
      </c>
      <c r="D13">
        <f t="shared" si="0"/>
        <v>25090000</v>
      </c>
      <c r="E13" s="2">
        <v>1.66E-2</v>
      </c>
    </row>
    <row r="14" spans="1:9" x14ac:dyDescent="0.3">
      <c r="A14" s="1">
        <v>44961</v>
      </c>
      <c r="B14">
        <v>8.66</v>
      </c>
      <c r="C14">
        <v>19.39</v>
      </c>
      <c r="D14">
        <f t="shared" si="0"/>
        <v>19390000</v>
      </c>
      <c r="E14" s="2">
        <v>1.0500000000000001E-2</v>
      </c>
    </row>
    <row r="15" spans="1:9" x14ac:dyDescent="0.3">
      <c r="A15" s="1">
        <v>45173</v>
      </c>
      <c r="B15">
        <v>8.7100000000000009</v>
      </c>
      <c r="C15">
        <v>32.020000000000003</v>
      </c>
      <c r="D15">
        <f t="shared" si="0"/>
        <v>32020000.000000004</v>
      </c>
      <c r="E15" s="2">
        <v>5.7999999999999996E-3</v>
      </c>
    </row>
    <row r="16" spans="1:9" x14ac:dyDescent="0.3">
      <c r="A16" t="s">
        <v>11</v>
      </c>
      <c r="B16">
        <v>8.6999999999999993</v>
      </c>
      <c r="C16">
        <v>19.05</v>
      </c>
      <c r="D16">
        <f t="shared" si="0"/>
        <v>19050000</v>
      </c>
      <c r="E16" s="2">
        <v>-1.1000000000000001E-3</v>
      </c>
    </row>
    <row r="17" spans="1:5" x14ac:dyDescent="0.3">
      <c r="A17" t="s">
        <v>12</v>
      </c>
      <c r="B17">
        <v>8.66</v>
      </c>
      <c r="C17">
        <v>27.47</v>
      </c>
      <c r="D17">
        <f t="shared" si="0"/>
        <v>27470000</v>
      </c>
      <c r="E17" s="2">
        <v>-4.5999999999999999E-3</v>
      </c>
    </row>
    <row r="18" spans="1:5" x14ac:dyDescent="0.3">
      <c r="A18" t="s">
        <v>13</v>
      </c>
      <c r="B18">
        <v>8.75</v>
      </c>
      <c r="C18">
        <v>18.05</v>
      </c>
      <c r="D18">
        <f t="shared" si="0"/>
        <v>18050000</v>
      </c>
      <c r="E18" s="2">
        <v>1.04E-2</v>
      </c>
    </row>
    <row r="19" spans="1:5" x14ac:dyDescent="0.3">
      <c r="A19" s="1">
        <v>45112</v>
      </c>
      <c r="B19">
        <v>8.69</v>
      </c>
      <c r="C19">
        <v>27.97</v>
      </c>
      <c r="D19">
        <f t="shared" si="0"/>
        <v>27970000</v>
      </c>
      <c r="E19" s="2">
        <v>-6.8999999999999999E-3</v>
      </c>
    </row>
    <row r="20" spans="1:5" x14ac:dyDescent="0.3">
      <c r="A20" t="s">
        <v>14</v>
      </c>
      <c r="B20">
        <v>8.7799999999999994</v>
      </c>
      <c r="C20">
        <v>19.66</v>
      </c>
      <c r="D20">
        <f t="shared" si="0"/>
        <v>19660000</v>
      </c>
      <c r="E20" s="2">
        <v>1.04E-2</v>
      </c>
    </row>
    <row r="21" spans="1:5" x14ac:dyDescent="0.3">
      <c r="A21" t="s">
        <v>15</v>
      </c>
      <c r="B21">
        <v>8.58</v>
      </c>
      <c r="C21">
        <v>42.49</v>
      </c>
      <c r="D21">
        <f t="shared" si="0"/>
        <v>42490000</v>
      </c>
      <c r="E21" s="2">
        <v>-2.2800000000000001E-2</v>
      </c>
    </row>
    <row r="22" spans="1:5" x14ac:dyDescent="0.3">
      <c r="A22" t="s">
        <v>16</v>
      </c>
      <c r="B22">
        <v>8.58</v>
      </c>
      <c r="C22">
        <v>90.71</v>
      </c>
      <c r="D22">
        <f t="shared" si="0"/>
        <v>90710000</v>
      </c>
      <c r="E22" s="2">
        <v>0</v>
      </c>
    </row>
    <row r="23" spans="1:5" x14ac:dyDescent="0.3">
      <c r="A23" s="1">
        <v>45022</v>
      </c>
      <c r="B23">
        <v>8.6199999999999992</v>
      </c>
      <c r="C23">
        <v>21.69</v>
      </c>
      <c r="D23">
        <f t="shared" si="0"/>
        <v>21690000</v>
      </c>
      <c r="E23" s="2">
        <v>4.7000000000000002E-3</v>
      </c>
    </row>
    <row r="24" spans="1:5" x14ac:dyDescent="0.3">
      <c r="A24" s="1">
        <v>45236</v>
      </c>
      <c r="B24">
        <v>8.57</v>
      </c>
      <c r="C24">
        <v>39.75</v>
      </c>
      <c r="D24">
        <f t="shared" si="0"/>
        <v>39750000</v>
      </c>
      <c r="E24" s="2">
        <v>-5.7999999999999996E-3</v>
      </c>
    </row>
    <row r="25" spans="1:5" x14ac:dyDescent="0.3">
      <c r="A25" t="s">
        <v>17</v>
      </c>
      <c r="B25">
        <v>8.74</v>
      </c>
      <c r="C25">
        <v>28.97</v>
      </c>
      <c r="D25">
        <f t="shared" si="0"/>
        <v>28970000</v>
      </c>
      <c r="E25" s="2">
        <v>1.9800000000000002E-2</v>
      </c>
    </row>
    <row r="26" spans="1:5" x14ac:dyDescent="0.3">
      <c r="A26" t="s">
        <v>18</v>
      </c>
      <c r="B26">
        <v>8.6300000000000008</v>
      </c>
      <c r="C26">
        <v>28.3</v>
      </c>
      <c r="D26">
        <f t="shared" si="0"/>
        <v>28300000</v>
      </c>
      <c r="E26" s="2">
        <v>-1.26E-2</v>
      </c>
    </row>
    <row r="27" spans="1:5" x14ac:dyDescent="0.3">
      <c r="A27" s="1">
        <v>44964</v>
      </c>
      <c r="B27">
        <v>8.67</v>
      </c>
      <c r="C27">
        <v>25.2</v>
      </c>
      <c r="D27">
        <f t="shared" si="0"/>
        <v>25200000</v>
      </c>
      <c r="E27" s="2">
        <v>4.5999999999999999E-3</v>
      </c>
    </row>
    <row r="28" spans="1:5" x14ac:dyDescent="0.3">
      <c r="A28" s="1">
        <v>45176</v>
      </c>
      <c r="B28">
        <v>8.8000000000000007</v>
      </c>
      <c r="C28">
        <v>36.57</v>
      </c>
      <c r="D28">
        <f t="shared" si="0"/>
        <v>36570000</v>
      </c>
      <c r="E28" s="2">
        <v>1.4999999999999999E-2</v>
      </c>
    </row>
    <row r="29" spans="1:5" x14ac:dyDescent="0.3">
      <c r="A29" t="s">
        <v>19</v>
      </c>
      <c r="B29">
        <v>8.7799999999999994</v>
      </c>
      <c r="C29">
        <v>30.45</v>
      </c>
      <c r="D29">
        <f t="shared" si="0"/>
        <v>30450000</v>
      </c>
      <c r="E29" s="2">
        <v>-2.3E-3</v>
      </c>
    </row>
    <row r="30" spans="1:5" x14ac:dyDescent="0.3">
      <c r="A30" t="s">
        <v>20</v>
      </c>
      <c r="B30">
        <v>8.99</v>
      </c>
      <c r="C30">
        <v>53.4</v>
      </c>
      <c r="D30">
        <f t="shared" si="0"/>
        <v>53400000</v>
      </c>
      <c r="E30" s="2">
        <v>2.3900000000000001E-2</v>
      </c>
    </row>
    <row r="31" spans="1:5" x14ac:dyDescent="0.3">
      <c r="A31" t="s">
        <v>21</v>
      </c>
      <c r="B31">
        <v>8.91</v>
      </c>
      <c r="C31">
        <v>43.64</v>
      </c>
      <c r="D31">
        <f t="shared" si="0"/>
        <v>43640000</v>
      </c>
      <c r="E31" s="2">
        <v>-8.8999999999999999E-3</v>
      </c>
    </row>
    <row r="32" spans="1:5" x14ac:dyDescent="0.3">
      <c r="A32" s="1">
        <v>45085</v>
      </c>
      <c r="B32">
        <v>9.02</v>
      </c>
      <c r="C32">
        <v>56.96</v>
      </c>
      <c r="D32">
        <f t="shared" si="0"/>
        <v>56960000</v>
      </c>
      <c r="E32" s="2">
        <v>1.23E-2</v>
      </c>
    </row>
    <row r="33" spans="1:5" x14ac:dyDescent="0.3">
      <c r="A33" t="s">
        <v>22</v>
      </c>
      <c r="B33">
        <v>9</v>
      </c>
      <c r="C33">
        <v>45.79</v>
      </c>
      <c r="D33">
        <f t="shared" si="0"/>
        <v>45790000</v>
      </c>
      <c r="E33" s="2">
        <v>-2.2000000000000001E-3</v>
      </c>
    </row>
    <row r="34" spans="1:5" x14ac:dyDescent="0.3">
      <c r="A34" t="s">
        <v>23</v>
      </c>
      <c r="B34">
        <v>9.02</v>
      </c>
      <c r="C34">
        <v>43.68</v>
      </c>
      <c r="D34">
        <f t="shared" si="0"/>
        <v>43680000</v>
      </c>
      <c r="E34" s="2">
        <v>2.2000000000000001E-3</v>
      </c>
    </row>
    <row r="35" spans="1:5" x14ac:dyDescent="0.3">
      <c r="A35" t="s">
        <v>24</v>
      </c>
      <c r="B35">
        <v>9.15</v>
      </c>
      <c r="C35">
        <v>45.38</v>
      </c>
      <c r="D35">
        <f t="shared" si="0"/>
        <v>45380000</v>
      </c>
      <c r="E35" s="2">
        <v>1.44E-2</v>
      </c>
    </row>
    <row r="36" spans="1:5" x14ac:dyDescent="0.3">
      <c r="A36" s="1">
        <v>44994</v>
      </c>
      <c r="B36">
        <v>9.14</v>
      </c>
      <c r="C36">
        <v>36.630000000000003</v>
      </c>
      <c r="D36">
        <f t="shared" si="0"/>
        <v>36630000</v>
      </c>
      <c r="E36" s="2">
        <v>-1.1000000000000001E-3</v>
      </c>
    </row>
    <row r="37" spans="1:5" x14ac:dyDescent="0.3">
      <c r="A37" s="1">
        <v>45208</v>
      </c>
      <c r="B37">
        <v>8.91</v>
      </c>
      <c r="C37">
        <v>59.45</v>
      </c>
      <c r="D37">
        <f t="shared" si="0"/>
        <v>59450000</v>
      </c>
      <c r="E37" s="2">
        <v>-2.52E-2</v>
      </c>
    </row>
    <row r="38" spans="1:5" x14ac:dyDescent="0.3">
      <c r="A38" t="s">
        <v>25</v>
      </c>
      <c r="B38">
        <v>8.8800000000000008</v>
      </c>
      <c r="C38">
        <v>33.340000000000003</v>
      </c>
      <c r="D38">
        <f t="shared" si="0"/>
        <v>33340000.000000004</v>
      </c>
      <c r="E38" s="2">
        <v>-3.3999999999999998E-3</v>
      </c>
    </row>
    <row r="39" spans="1:5" x14ac:dyDescent="0.3">
      <c r="A39" t="s">
        <v>26</v>
      </c>
      <c r="B39">
        <v>8.7899999999999991</v>
      </c>
      <c r="C39">
        <v>37.51</v>
      </c>
      <c r="D39">
        <f t="shared" si="0"/>
        <v>37510000</v>
      </c>
      <c r="E39" s="2">
        <v>-1.01E-2</v>
      </c>
    </row>
    <row r="40" spans="1:5" x14ac:dyDescent="0.3">
      <c r="A40" s="1">
        <v>44936</v>
      </c>
      <c r="B40">
        <v>8.77</v>
      </c>
      <c r="C40">
        <v>76.25</v>
      </c>
      <c r="D40">
        <f t="shared" si="0"/>
        <v>76250000</v>
      </c>
      <c r="E40" s="2">
        <v>-2.3E-3</v>
      </c>
    </row>
    <row r="41" spans="1:5" x14ac:dyDescent="0.3">
      <c r="A41" s="1">
        <v>45148</v>
      </c>
      <c r="B41">
        <v>8.98</v>
      </c>
      <c r="C41">
        <v>33.74</v>
      </c>
      <c r="D41">
        <f t="shared" si="0"/>
        <v>33740000</v>
      </c>
      <c r="E41" s="2">
        <v>2.3900000000000001E-2</v>
      </c>
    </row>
    <row r="42" spans="1:5" x14ac:dyDescent="0.3">
      <c r="A42" t="s">
        <v>27</v>
      </c>
      <c r="B42">
        <v>8.99</v>
      </c>
      <c r="C42">
        <v>43.37</v>
      </c>
      <c r="D42">
        <f t="shared" si="0"/>
        <v>43370000</v>
      </c>
      <c r="E42" s="2">
        <v>1.1000000000000001E-3</v>
      </c>
    </row>
    <row r="43" spans="1:5" x14ac:dyDescent="0.3">
      <c r="A43" t="s">
        <v>28</v>
      </c>
      <c r="B43">
        <v>9</v>
      </c>
      <c r="C43">
        <v>37.979999999999997</v>
      </c>
      <c r="D43">
        <f t="shared" si="0"/>
        <v>37980000</v>
      </c>
      <c r="E43" s="2">
        <v>1.1000000000000001E-3</v>
      </c>
    </row>
    <row r="44" spans="1:5" x14ac:dyDescent="0.3">
      <c r="A44" t="s">
        <v>29</v>
      </c>
      <c r="B44">
        <v>9.0399999999999991</v>
      </c>
      <c r="C44">
        <v>31.03</v>
      </c>
      <c r="D44">
        <f t="shared" si="0"/>
        <v>31030000</v>
      </c>
      <c r="E44" s="2">
        <v>4.4000000000000003E-3</v>
      </c>
    </row>
    <row r="45" spans="1:5" x14ac:dyDescent="0.3">
      <c r="A45" s="1">
        <v>45057</v>
      </c>
      <c r="B45">
        <v>9.08</v>
      </c>
      <c r="C45">
        <v>25.69</v>
      </c>
      <c r="D45">
        <f t="shared" si="0"/>
        <v>25690000</v>
      </c>
      <c r="E45" s="2">
        <v>4.4000000000000003E-3</v>
      </c>
    </row>
    <row r="46" spans="1:5" x14ac:dyDescent="0.3">
      <c r="A46" s="1">
        <v>45271</v>
      </c>
      <c r="B46">
        <v>9.1199999999999992</v>
      </c>
      <c r="C46">
        <v>32.630000000000003</v>
      </c>
      <c r="D46">
        <f t="shared" si="0"/>
        <v>32630000.000000004</v>
      </c>
      <c r="E46" s="2">
        <v>4.4000000000000003E-3</v>
      </c>
    </row>
    <row r="47" spans="1:5" x14ac:dyDescent="0.3">
      <c r="A47" t="s">
        <v>30</v>
      </c>
      <c r="B47">
        <v>9.09</v>
      </c>
      <c r="C47">
        <v>33.630000000000003</v>
      </c>
      <c r="D47">
        <f t="shared" si="0"/>
        <v>33630000</v>
      </c>
      <c r="E47" s="2">
        <v>-3.3E-3</v>
      </c>
    </row>
    <row r="48" spans="1:5" x14ac:dyDescent="0.3">
      <c r="A48" t="s">
        <v>31</v>
      </c>
      <c r="B48">
        <v>9</v>
      </c>
      <c r="C48">
        <v>37.64</v>
      </c>
      <c r="D48">
        <f t="shared" si="0"/>
        <v>37640000</v>
      </c>
      <c r="E48" s="2">
        <v>-9.9000000000000008E-3</v>
      </c>
    </row>
    <row r="49" spans="1:5" x14ac:dyDescent="0.3">
      <c r="A49" s="1">
        <v>44997</v>
      </c>
      <c r="B49">
        <v>9.0399999999999991</v>
      </c>
      <c r="C49">
        <v>27.87</v>
      </c>
      <c r="D49">
        <f t="shared" si="0"/>
        <v>27870000</v>
      </c>
      <c r="E49" s="2">
        <v>4.4000000000000003E-3</v>
      </c>
    </row>
    <row r="50" spans="1:5" x14ac:dyDescent="0.3">
      <c r="A50" s="1">
        <v>45211</v>
      </c>
      <c r="B50">
        <v>9</v>
      </c>
      <c r="C50">
        <v>56.39</v>
      </c>
      <c r="D50">
        <f t="shared" si="0"/>
        <v>56390000</v>
      </c>
      <c r="E50" s="2">
        <v>-4.4000000000000003E-3</v>
      </c>
    </row>
    <row r="51" spans="1:5" x14ac:dyDescent="0.3">
      <c r="A51" t="s">
        <v>32</v>
      </c>
      <c r="B51">
        <v>8.89</v>
      </c>
      <c r="C51">
        <v>58.24</v>
      </c>
      <c r="D51">
        <f t="shared" si="0"/>
        <v>58240000</v>
      </c>
      <c r="E51" s="2">
        <v>-1.2200000000000001E-2</v>
      </c>
    </row>
    <row r="52" spans="1:5" x14ac:dyDescent="0.3">
      <c r="A52" t="s">
        <v>33</v>
      </c>
      <c r="B52">
        <v>8.89</v>
      </c>
      <c r="C52">
        <v>42.38</v>
      </c>
      <c r="D52">
        <f t="shared" si="0"/>
        <v>42380000</v>
      </c>
      <c r="E52" s="2">
        <v>0</v>
      </c>
    </row>
    <row r="53" spans="1:5" x14ac:dyDescent="0.3">
      <c r="A53" t="s">
        <v>34</v>
      </c>
      <c r="B53">
        <v>9.06</v>
      </c>
      <c r="C53">
        <v>25.15</v>
      </c>
      <c r="D53">
        <f t="shared" si="0"/>
        <v>25150000</v>
      </c>
      <c r="E53" s="2">
        <v>1.9099999999999999E-2</v>
      </c>
    </row>
    <row r="54" spans="1:5" x14ac:dyDescent="0.3">
      <c r="A54" s="1">
        <v>45474</v>
      </c>
      <c r="B54">
        <v>9.06</v>
      </c>
      <c r="C54">
        <v>29.38</v>
      </c>
      <c r="D54">
        <f t="shared" si="0"/>
        <v>29380000</v>
      </c>
      <c r="E54" s="2">
        <v>0</v>
      </c>
    </row>
    <row r="55" spans="1:5" x14ac:dyDescent="0.3">
      <c r="A55" t="s">
        <v>35</v>
      </c>
      <c r="B55">
        <v>9.0299999999999994</v>
      </c>
      <c r="C55">
        <v>38.18</v>
      </c>
      <c r="D55">
        <f t="shared" si="0"/>
        <v>38180000</v>
      </c>
      <c r="E55" s="2">
        <v>-3.3E-3</v>
      </c>
    </row>
    <row r="56" spans="1:5" x14ac:dyDescent="0.3">
      <c r="A56" t="s">
        <v>36</v>
      </c>
      <c r="B56">
        <v>9.14</v>
      </c>
      <c r="C56">
        <v>31.02</v>
      </c>
      <c r="D56">
        <f t="shared" si="0"/>
        <v>31020000</v>
      </c>
      <c r="E56" s="2">
        <v>1.2200000000000001E-2</v>
      </c>
    </row>
    <row r="57" spans="1:5" x14ac:dyDescent="0.3">
      <c r="A57" t="s">
        <v>37</v>
      </c>
      <c r="B57">
        <v>9.34</v>
      </c>
      <c r="C57">
        <v>52.64</v>
      </c>
      <c r="D57">
        <f t="shared" si="0"/>
        <v>52640000</v>
      </c>
      <c r="E57" s="2">
        <v>2.1899999999999999E-2</v>
      </c>
    </row>
    <row r="58" spans="1:5" x14ac:dyDescent="0.3">
      <c r="A58" s="1">
        <v>45384</v>
      </c>
      <c r="B58">
        <v>9.26</v>
      </c>
      <c r="C58">
        <v>38.78</v>
      </c>
      <c r="D58">
        <f t="shared" si="0"/>
        <v>38780000</v>
      </c>
      <c r="E58" s="2">
        <v>-8.6E-3</v>
      </c>
    </row>
    <row r="59" spans="1:5" x14ac:dyDescent="0.3">
      <c r="A59" s="1">
        <v>45598</v>
      </c>
      <c r="B59">
        <v>9.43</v>
      </c>
      <c r="C59">
        <v>42.06</v>
      </c>
      <c r="D59">
        <f t="shared" si="0"/>
        <v>42060000</v>
      </c>
      <c r="E59" s="2">
        <v>1.84E-2</v>
      </c>
    </row>
    <row r="60" spans="1:5" x14ac:dyDescent="0.3">
      <c r="A60" t="s">
        <v>38</v>
      </c>
      <c r="B60">
        <v>9.5299999999999994</v>
      </c>
      <c r="C60">
        <v>47.22</v>
      </c>
      <c r="D60">
        <f t="shared" si="0"/>
        <v>47220000</v>
      </c>
      <c r="E60" s="2">
        <v>1.06E-2</v>
      </c>
    </row>
    <row r="61" spans="1:5" x14ac:dyDescent="0.3">
      <c r="A61" t="s">
        <v>39</v>
      </c>
      <c r="B61">
        <v>9.4499999999999993</v>
      </c>
      <c r="C61">
        <v>77.44</v>
      </c>
      <c r="D61">
        <f t="shared" si="0"/>
        <v>77440000</v>
      </c>
      <c r="E61" s="2">
        <v>-8.3999999999999995E-3</v>
      </c>
    </row>
    <row r="62" spans="1:5" x14ac:dyDescent="0.3">
      <c r="A62" s="1">
        <v>45354</v>
      </c>
      <c r="B62">
        <v>9.75</v>
      </c>
      <c r="C62">
        <v>77.48</v>
      </c>
      <c r="D62">
        <f t="shared" si="0"/>
        <v>77480000</v>
      </c>
      <c r="E62" s="2">
        <v>3.1699999999999999E-2</v>
      </c>
    </row>
    <row r="63" spans="1:5" x14ac:dyDescent="0.3">
      <c r="A63" s="1">
        <v>45568</v>
      </c>
      <c r="B63">
        <v>9.7100000000000009</v>
      </c>
      <c r="C63">
        <v>88.48</v>
      </c>
      <c r="D63">
        <f t="shared" si="0"/>
        <v>88480000</v>
      </c>
      <c r="E63" s="2">
        <v>-4.1000000000000003E-3</v>
      </c>
    </row>
    <row r="64" spans="1:5" x14ac:dyDescent="0.3">
      <c r="A64" t="s">
        <v>40</v>
      </c>
      <c r="B64">
        <v>9.59</v>
      </c>
      <c r="C64">
        <v>58.41</v>
      </c>
      <c r="D64">
        <f t="shared" si="0"/>
        <v>58410000</v>
      </c>
      <c r="E64" s="2">
        <v>-1.24E-2</v>
      </c>
    </row>
    <row r="65" spans="1:5" x14ac:dyDescent="0.3">
      <c r="A65" t="s">
        <v>41</v>
      </c>
      <c r="B65">
        <v>9.69</v>
      </c>
      <c r="C65">
        <v>46.7</v>
      </c>
      <c r="D65">
        <f t="shared" si="0"/>
        <v>46700000</v>
      </c>
      <c r="E65" s="2">
        <v>1.04E-2</v>
      </c>
    </row>
    <row r="66" spans="1:5" x14ac:dyDescent="0.3">
      <c r="A66" t="s">
        <v>42</v>
      </c>
      <c r="B66">
        <v>9.64</v>
      </c>
      <c r="C66">
        <v>50.46</v>
      </c>
      <c r="D66">
        <f t="shared" si="0"/>
        <v>50460000</v>
      </c>
      <c r="E66" s="2">
        <v>-5.1999999999999998E-3</v>
      </c>
    </row>
    <row r="67" spans="1:5" x14ac:dyDescent="0.3">
      <c r="A67" s="1">
        <v>45477</v>
      </c>
      <c r="B67">
        <v>9.65</v>
      </c>
      <c r="C67">
        <v>30.51</v>
      </c>
      <c r="D67">
        <f t="shared" ref="D67:D130" si="1">C67*1000000</f>
        <v>30510000</v>
      </c>
      <c r="E67" s="2">
        <v>1E-3</v>
      </c>
    </row>
    <row r="68" spans="1:5" x14ac:dyDescent="0.3">
      <c r="A68" t="s">
        <v>43</v>
      </c>
      <c r="B68">
        <v>9.65</v>
      </c>
      <c r="C68">
        <v>53.05</v>
      </c>
      <c r="D68">
        <f t="shared" si="1"/>
        <v>53050000</v>
      </c>
      <c r="E68" s="2">
        <v>0</v>
      </c>
    </row>
    <row r="69" spans="1:5" x14ac:dyDescent="0.3">
      <c r="A69" t="s">
        <v>44</v>
      </c>
      <c r="B69">
        <v>9.7899999999999991</v>
      </c>
      <c r="C69">
        <v>82.14</v>
      </c>
      <c r="D69">
        <f t="shared" si="1"/>
        <v>82140000</v>
      </c>
      <c r="E69" s="2">
        <v>1.4500000000000001E-2</v>
      </c>
    </row>
    <row r="70" spans="1:5" x14ac:dyDescent="0.3">
      <c r="A70" t="s">
        <v>45</v>
      </c>
      <c r="B70">
        <v>9.8000000000000007</v>
      </c>
      <c r="C70">
        <v>55.24</v>
      </c>
      <c r="D70">
        <f t="shared" si="1"/>
        <v>55240000</v>
      </c>
      <c r="E70" s="2">
        <v>1E-3</v>
      </c>
    </row>
    <row r="71" spans="1:5" x14ac:dyDescent="0.3">
      <c r="A71" s="1">
        <v>45417</v>
      </c>
      <c r="B71">
        <v>9.8699999999999992</v>
      </c>
      <c r="C71">
        <v>41.62</v>
      </c>
      <c r="D71">
        <f t="shared" si="1"/>
        <v>41620000</v>
      </c>
      <c r="E71" s="2">
        <v>7.1000000000000004E-3</v>
      </c>
    </row>
    <row r="72" spans="1:5" x14ac:dyDescent="0.3">
      <c r="A72" s="1">
        <v>45631</v>
      </c>
      <c r="B72">
        <v>9.92</v>
      </c>
      <c r="C72">
        <v>47.12</v>
      </c>
      <c r="D72">
        <f t="shared" si="1"/>
        <v>47120000</v>
      </c>
      <c r="E72" s="2">
        <v>5.1000000000000004E-3</v>
      </c>
    </row>
    <row r="73" spans="1:5" x14ac:dyDescent="0.3">
      <c r="A73" t="s">
        <v>46</v>
      </c>
      <c r="B73">
        <v>9.98</v>
      </c>
      <c r="C73">
        <v>44.03</v>
      </c>
      <c r="D73">
        <f t="shared" si="1"/>
        <v>44030000</v>
      </c>
      <c r="E73" s="2">
        <v>6.0000000000000001E-3</v>
      </c>
    </row>
    <row r="74" spans="1:5" x14ac:dyDescent="0.3">
      <c r="A74" t="s">
        <v>47</v>
      </c>
      <c r="B74">
        <v>9.93</v>
      </c>
      <c r="C74">
        <v>100.99</v>
      </c>
      <c r="D74">
        <f t="shared" si="1"/>
        <v>100990000</v>
      </c>
      <c r="E74" s="2">
        <v>-5.0000000000000001E-3</v>
      </c>
    </row>
    <row r="75" spans="1:5" x14ac:dyDescent="0.3">
      <c r="A75" s="1">
        <v>45328</v>
      </c>
      <c r="B75">
        <v>10</v>
      </c>
      <c r="C75">
        <v>53.91</v>
      </c>
      <c r="D75">
        <f t="shared" si="1"/>
        <v>53910000</v>
      </c>
      <c r="E75" s="2">
        <v>7.0000000000000001E-3</v>
      </c>
    </row>
    <row r="76" spans="1:5" x14ac:dyDescent="0.3">
      <c r="A76" s="1">
        <v>45541</v>
      </c>
      <c r="B76">
        <v>9.94</v>
      </c>
      <c r="C76">
        <v>30.94</v>
      </c>
      <c r="D76">
        <f t="shared" si="1"/>
        <v>30940000</v>
      </c>
      <c r="E76" s="2">
        <v>-6.0000000000000001E-3</v>
      </c>
    </row>
    <row r="77" spans="1:5" x14ac:dyDescent="0.3">
      <c r="A77" t="s">
        <v>48</v>
      </c>
      <c r="B77">
        <v>9.86</v>
      </c>
      <c r="C77">
        <v>55.4</v>
      </c>
      <c r="D77">
        <f t="shared" si="1"/>
        <v>55400000</v>
      </c>
      <c r="E77" s="2">
        <v>-8.0000000000000002E-3</v>
      </c>
    </row>
    <row r="78" spans="1:5" x14ac:dyDescent="0.3">
      <c r="A78" t="s">
        <v>49</v>
      </c>
      <c r="B78">
        <v>9.9600000000000009</v>
      </c>
      <c r="C78">
        <v>58.21</v>
      </c>
      <c r="D78">
        <f t="shared" si="1"/>
        <v>58210000</v>
      </c>
      <c r="E78" s="2">
        <v>1.01E-2</v>
      </c>
    </row>
    <row r="79" spans="1:5" x14ac:dyDescent="0.3">
      <c r="A79" t="s">
        <v>50</v>
      </c>
      <c r="B79">
        <v>10.039999999999999</v>
      </c>
      <c r="C79">
        <v>31.49</v>
      </c>
      <c r="D79">
        <f t="shared" si="1"/>
        <v>31490000</v>
      </c>
      <c r="E79" s="2">
        <v>8.0000000000000002E-3</v>
      </c>
    </row>
    <row r="80" spans="1:5" x14ac:dyDescent="0.3">
      <c r="A80" s="1">
        <v>45480</v>
      </c>
      <c r="B80">
        <v>10.039999999999999</v>
      </c>
      <c r="C80">
        <v>48.97</v>
      </c>
      <c r="D80">
        <f t="shared" si="1"/>
        <v>48970000</v>
      </c>
      <c r="E80" s="2">
        <v>0</v>
      </c>
    </row>
    <row r="81" spans="1:5" x14ac:dyDescent="0.3">
      <c r="A81" t="s">
        <v>51</v>
      </c>
      <c r="B81">
        <v>10.1</v>
      </c>
      <c r="C81">
        <v>55.09</v>
      </c>
      <c r="D81">
        <f t="shared" si="1"/>
        <v>55090000</v>
      </c>
      <c r="E81" s="2">
        <v>6.0000000000000001E-3</v>
      </c>
    </row>
    <row r="82" spans="1:5" x14ac:dyDescent="0.3">
      <c r="A82" t="s">
        <v>52</v>
      </c>
      <c r="B82">
        <v>10.14</v>
      </c>
      <c r="C82">
        <v>32.11</v>
      </c>
      <c r="D82">
        <f t="shared" si="1"/>
        <v>32110000</v>
      </c>
      <c r="E82" s="2">
        <v>4.0000000000000001E-3</v>
      </c>
    </row>
    <row r="83" spans="1:5" x14ac:dyDescent="0.3">
      <c r="A83" t="s">
        <v>53</v>
      </c>
      <c r="B83">
        <v>10.24</v>
      </c>
      <c r="C83">
        <v>57.71</v>
      </c>
      <c r="D83">
        <f t="shared" si="1"/>
        <v>57710000</v>
      </c>
      <c r="E83" s="2">
        <v>9.9000000000000008E-3</v>
      </c>
    </row>
    <row r="84" spans="1:5" x14ac:dyDescent="0.3">
      <c r="A84" s="1">
        <v>45390</v>
      </c>
      <c r="B84">
        <v>10.16</v>
      </c>
      <c r="C84">
        <v>85.6</v>
      </c>
      <c r="D84">
        <f t="shared" si="1"/>
        <v>85600000</v>
      </c>
      <c r="E84" s="2">
        <v>-7.7999999999999996E-3</v>
      </c>
    </row>
    <row r="85" spans="1:5" x14ac:dyDescent="0.3">
      <c r="A85" s="1">
        <v>45604</v>
      </c>
      <c r="B85">
        <v>10.26</v>
      </c>
      <c r="C85">
        <v>48.33</v>
      </c>
      <c r="D85">
        <f t="shared" si="1"/>
        <v>48330000</v>
      </c>
      <c r="E85" s="2">
        <v>9.7999999999999997E-3</v>
      </c>
    </row>
    <row r="86" spans="1:5" x14ac:dyDescent="0.3">
      <c r="A86" t="s">
        <v>54</v>
      </c>
      <c r="B86">
        <v>10.44</v>
      </c>
      <c r="C86">
        <v>74.900000000000006</v>
      </c>
      <c r="D86">
        <f t="shared" si="1"/>
        <v>74900000</v>
      </c>
      <c r="E86" s="2">
        <v>1.7500000000000002E-2</v>
      </c>
    </row>
    <row r="87" spans="1:5" x14ac:dyDescent="0.3">
      <c r="A87" t="s">
        <v>55</v>
      </c>
      <c r="B87">
        <v>10.78</v>
      </c>
      <c r="C87">
        <v>98.43</v>
      </c>
      <c r="D87">
        <f t="shared" si="1"/>
        <v>98430000</v>
      </c>
      <c r="E87" s="2">
        <v>3.2599999999999997E-2</v>
      </c>
    </row>
    <row r="88" spans="1:5" x14ac:dyDescent="0.3">
      <c r="A88" s="1">
        <v>45300</v>
      </c>
      <c r="B88">
        <v>10.8</v>
      </c>
      <c r="C88">
        <v>75.19</v>
      </c>
      <c r="D88">
        <f t="shared" si="1"/>
        <v>75190000</v>
      </c>
      <c r="E88" s="2">
        <v>1.9E-3</v>
      </c>
    </row>
    <row r="89" spans="1:5" x14ac:dyDescent="0.3">
      <c r="A89" s="1">
        <v>45513</v>
      </c>
      <c r="B89">
        <v>10.64</v>
      </c>
      <c r="C89">
        <v>125.59</v>
      </c>
      <c r="D89">
        <f t="shared" si="1"/>
        <v>125590000</v>
      </c>
      <c r="E89" s="2">
        <v>-1.4800000000000001E-2</v>
      </c>
    </row>
    <row r="90" spans="1:5" x14ac:dyDescent="0.3">
      <c r="A90" t="s">
        <v>56</v>
      </c>
      <c r="B90">
        <v>10.6</v>
      </c>
      <c r="C90">
        <v>70.03</v>
      </c>
      <c r="D90">
        <f t="shared" si="1"/>
        <v>70030000</v>
      </c>
      <c r="E90" s="2">
        <v>-3.8E-3</v>
      </c>
    </row>
    <row r="91" spans="1:5" x14ac:dyDescent="0.3">
      <c r="A91" t="s">
        <v>57</v>
      </c>
      <c r="B91">
        <v>10.5</v>
      </c>
      <c r="C91">
        <v>40.9</v>
      </c>
      <c r="D91">
        <f t="shared" si="1"/>
        <v>40900000</v>
      </c>
      <c r="E91" s="2">
        <v>-9.4000000000000004E-3</v>
      </c>
    </row>
    <row r="92" spans="1:5" x14ac:dyDescent="0.3">
      <c r="A92" t="s">
        <v>58</v>
      </c>
      <c r="B92">
        <v>10.5</v>
      </c>
      <c r="C92">
        <v>51.89</v>
      </c>
      <c r="D92">
        <f t="shared" si="1"/>
        <v>51890000</v>
      </c>
      <c r="E92" s="2">
        <v>0</v>
      </c>
    </row>
    <row r="93" spans="1:5" x14ac:dyDescent="0.3">
      <c r="A93" s="1">
        <v>45453</v>
      </c>
      <c r="B93">
        <v>10.56</v>
      </c>
      <c r="C93">
        <v>33.85</v>
      </c>
      <c r="D93">
        <f t="shared" si="1"/>
        <v>33850000</v>
      </c>
      <c r="E93" s="2">
        <v>5.7000000000000002E-3</v>
      </c>
    </row>
    <row r="94" spans="1:5" x14ac:dyDescent="0.3">
      <c r="A94" t="s">
        <v>59</v>
      </c>
      <c r="B94">
        <v>10.66</v>
      </c>
      <c r="C94">
        <v>34.44</v>
      </c>
      <c r="D94">
        <f t="shared" si="1"/>
        <v>34440000</v>
      </c>
      <c r="E94" s="2">
        <v>9.4999999999999998E-3</v>
      </c>
    </row>
    <row r="95" spans="1:5" x14ac:dyDescent="0.3">
      <c r="A95" t="s">
        <v>60</v>
      </c>
      <c r="B95">
        <v>10.54</v>
      </c>
      <c r="C95">
        <v>34.58</v>
      </c>
      <c r="D95">
        <f t="shared" si="1"/>
        <v>34580000</v>
      </c>
      <c r="E95" s="2">
        <v>-1.1299999999999999E-2</v>
      </c>
    </row>
    <row r="96" spans="1:5" x14ac:dyDescent="0.3">
      <c r="A96" t="s">
        <v>61</v>
      </c>
      <c r="B96">
        <v>10.4</v>
      </c>
      <c r="C96">
        <v>64.099999999999994</v>
      </c>
      <c r="D96">
        <f t="shared" si="1"/>
        <v>64099999.999999993</v>
      </c>
      <c r="E96" s="2">
        <v>-1.3299999999999999E-2</v>
      </c>
    </row>
    <row r="97" spans="1:5" x14ac:dyDescent="0.3">
      <c r="A97" s="1">
        <v>45362</v>
      </c>
      <c r="B97">
        <v>10.5</v>
      </c>
      <c r="C97">
        <v>39.520000000000003</v>
      </c>
      <c r="D97">
        <f t="shared" si="1"/>
        <v>39520000</v>
      </c>
      <c r="E97" s="2">
        <v>9.5999999999999992E-3</v>
      </c>
    </row>
    <row r="98" spans="1:5" x14ac:dyDescent="0.3">
      <c r="A98" s="1">
        <v>45576</v>
      </c>
      <c r="B98">
        <v>10.36</v>
      </c>
      <c r="C98">
        <v>42.72</v>
      </c>
      <c r="D98">
        <f t="shared" si="1"/>
        <v>42720000</v>
      </c>
      <c r="E98" s="2">
        <v>-1.3299999999999999E-2</v>
      </c>
    </row>
    <row r="99" spans="1:5" x14ac:dyDescent="0.3">
      <c r="A99" t="s">
        <v>62</v>
      </c>
      <c r="B99">
        <v>10.199999999999999</v>
      </c>
      <c r="C99">
        <v>62.09</v>
      </c>
      <c r="D99">
        <f t="shared" si="1"/>
        <v>62090000</v>
      </c>
      <c r="E99" s="2">
        <v>-1.54E-2</v>
      </c>
    </row>
    <row r="100" spans="1:5" x14ac:dyDescent="0.3">
      <c r="A100" t="s">
        <v>63</v>
      </c>
      <c r="B100">
        <v>10.199999999999999</v>
      </c>
      <c r="C100">
        <v>83.72</v>
      </c>
      <c r="D100">
        <f t="shared" si="1"/>
        <v>83720000</v>
      </c>
      <c r="E100" s="2">
        <v>0</v>
      </c>
    </row>
    <row r="101" spans="1:5" x14ac:dyDescent="0.3">
      <c r="A101" s="1">
        <v>45303</v>
      </c>
      <c r="B101">
        <v>10.16</v>
      </c>
      <c r="C101">
        <v>52.64</v>
      </c>
      <c r="D101">
        <f t="shared" si="1"/>
        <v>52640000</v>
      </c>
      <c r="E101" s="2">
        <v>-3.8999999999999998E-3</v>
      </c>
    </row>
    <row r="102" spans="1:5" x14ac:dyDescent="0.3">
      <c r="A102" s="1">
        <v>45516</v>
      </c>
      <c r="B102">
        <v>10.14</v>
      </c>
      <c r="C102">
        <v>48.92</v>
      </c>
      <c r="D102">
        <f t="shared" si="1"/>
        <v>48920000</v>
      </c>
      <c r="E102" s="2">
        <v>-2E-3</v>
      </c>
    </row>
    <row r="103" spans="1:5" x14ac:dyDescent="0.3">
      <c r="A103" t="s">
        <v>64</v>
      </c>
      <c r="B103">
        <v>9.9600000000000009</v>
      </c>
      <c r="C103">
        <v>61.91</v>
      </c>
      <c r="D103">
        <f t="shared" si="1"/>
        <v>61910000</v>
      </c>
      <c r="E103" s="2">
        <v>-1.78E-2</v>
      </c>
    </row>
    <row r="104" spans="1:5" x14ac:dyDescent="0.3">
      <c r="A104" t="s">
        <v>65</v>
      </c>
      <c r="B104">
        <v>10.1</v>
      </c>
      <c r="C104">
        <v>19.07</v>
      </c>
      <c r="D104">
        <f t="shared" si="1"/>
        <v>19070000</v>
      </c>
      <c r="E104" s="2">
        <v>1.41E-2</v>
      </c>
    </row>
    <row r="105" spans="1:5" x14ac:dyDescent="0.3">
      <c r="A105" t="s">
        <v>66</v>
      </c>
      <c r="B105">
        <v>10.14</v>
      </c>
      <c r="C105">
        <v>23.57</v>
      </c>
      <c r="D105">
        <f t="shared" si="1"/>
        <v>23570000</v>
      </c>
      <c r="E105" s="2">
        <v>4.0000000000000001E-3</v>
      </c>
    </row>
    <row r="106" spans="1:5" x14ac:dyDescent="0.3">
      <c r="A106" s="1">
        <v>45778</v>
      </c>
      <c r="B106">
        <v>10.1</v>
      </c>
      <c r="C106">
        <v>40.5</v>
      </c>
      <c r="D106">
        <f t="shared" si="1"/>
        <v>40500000</v>
      </c>
      <c r="E106" s="2">
        <v>-3.8999999999999998E-3</v>
      </c>
    </row>
    <row r="107" spans="1:5" x14ac:dyDescent="0.3">
      <c r="A107" s="1">
        <v>45992</v>
      </c>
      <c r="B107">
        <v>10.14</v>
      </c>
      <c r="C107">
        <v>66.78</v>
      </c>
      <c r="D107">
        <f t="shared" si="1"/>
        <v>66780000</v>
      </c>
      <c r="E107" s="2">
        <v>4.0000000000000001E-3</v>
      </c>
    </row>
    <row r="108" spans="1:5" x14ac:dyDescent="0.3">
      <c r="A108" t="s">
        <v>67</v>
      </c>
      <c r="B108">
        <v>10.4</v>
      </c>
      <c r="C108">
        <v>44.28</v>
      </c>
      <c r="D108">
        <f t="shared" si="1"/>
        <v>44280000</v>
      </c>
      <c r="E108" s="2">
        <v>2.5600000000000001E-2</v>
      </c>
    </row>
    <row r="109" spans="1:5" x14ac:dyDescent="0.3">
      <c r="A109" t="s">
        <v>68</v>
      </c>
      <c r="B109">
        <v>10.34</v>
      </c>
      <c r="C109">
        <v>14.57</v>
      </c>
      <c r="D109">
        <f t="shared" si="1"/>
        <v>14570000</v>
      </c>
      <c r="E109" s="2">
        <v>-5.7999999999999996E-3</v>
      </c>
    </row>
    <row r="110" spans="1:5" x14ac:dyDescent="0.3">
      <c r="A110" s="1">
        <v>45690</v>
      </c>
      <c r="B110">
        <v>10.42</v>
      </c>
      <c r="C110">
        <v>41.15</v>
      </c>
      <c r="D110">
        <f t="shared" si="1"/>
        <v>41150000</v>
      </c>
      <c r="E110" s="2">
        <v>7.7000000000000002E-3</v>
      </c>
    </row>
    <row r="111" spans="1:5" x14ac:dyDescent="0.3">
      <c r="A111" s="1">
        <v>45902</v>
      </c>
      <c r="B111">
        <v>10.56</v>
      </c>
      <c r="C111">
        <v>30.4</v>
      </c>
      <c r="D111">
        <f t="shared" si="1"/>
        <v>30400000</v>
      </c>
      <c r="E111" s="2">
        <v>1.34E-2</v>
      </c>
    </row>
    <row r="112" spans="1:5" x14ac:dyDescent="0.3">
      <c r="A112" t="s">
        <v>69</v>
      </c>
      <c r="B112">
        <v>10.5</v>
      </c>
      <c r="C112">
        <v>48.14</v>
      </c>
      <c r="D112">
        <f t="shared" si="1"/>
        <v>48140000</v>
      </c>
      <c r="E112" s="2">
        <v>-5.7000000000000002E-3</v>
      </c>
    </row>
    <row r="113" spans="1:5" x14ac:dyDescent="0.3">
      <c r="A113" t="s">
        <v>70</v>
      </c>
      <c r="B113">
        <v>10.72</v>
      </c>
      <c r="C113">
        <v>65.11</v>
      </c>
      <c r="D113">
        <f t="shared" si="1"/>
        <v>65110000</v>
      </c>
      <c r="E113" s="2">
        <v>2.1000000000000001E-2</v>
      </c>
    </row>
    <row r="114" spans="1:5" x14ac:dyDescent="0.3">
      <c r="A114" s="1">
        <v>45691</v>
      </c>
      <c r="B114">
        <v>10.64</v>
      </c>
      <c r="C114">
        <v>49.43</v>
      </c>
      <c r="D114">
        <f t="shared" si="1"/>
        <v>49430000</v>
      </c>
      <c r="E114" s="2">
        <v>-7.4999999999999997E-3</v>
      </c>
    </row>
    <row r="115" spans="1:5" x14ac:dyDescent="0.3">
      <c r="A115" s="1">
        <v>45903</v>
      </c>
      <c r="B115">
        <v>10.32</v>
      </c>
      <c r="C115">
        <v>72.52</v>
      </c>
      <c r="D115">
        <f t="shared" si="1"/>
        <v>72520000</v>
      </c>
      <c r="E115" s="2">
        <v>-3.0099999999999998E-2</v>
      </c>
    </row>
    <row r="116" spans="1:5" x14ac:dyDescent="0.3">
      <c r="A116" t="s">
        <v>71</v>
      </c>
      <c r="B116">
        <v>10.18</v>
      </c>
      <c r="C116">
        <v>56.56</v>
      </c>
      <c r="D116">
        <f t="shared" si="1"/>
        <v>56560000</v>
      </c>
      <c r="E116" s="2">
        <v>-1.3599999999999999E-2</v>
      </c>
    </row>
    <row r="117" spans="1:5" x14ac:dyDescent="0.3">
      <c r="A117" t="s">
        <v>72</v>
      </c>
      <c r="B117">
        <v>10.119999999999999</v>
      </c>
      <c r="C117">
        <v>60.87</v>
      </c>
      <c r="D117">
        <f t="shared" si="1"/>
        <v>60870000</v>
      </c>
      <c r="E117" s="2">
        <v>-5.8999999999999999E-3</v>
      </c>
    </row>
    <row r="118" spans="1:5" x14ac:dyDescent="0.3">
      <c r="A118" t="s">
        <v>73</v>
      </c>
      <c r="B118">
        <v>10.24</v>
      </c>
      <c r="C118">
        <v>26.59</v>
      </c>
      <c r="D118">
        <f t="shared" si="1"/>
        <v>26590000</v>
      </c>
      <c r="E118" s="2">
        <v>1.1900000000000001E-2</v>
      </c>
    </row>
    <row r="119" spans="1:5" x14ac:dyDescent="0.3">
      <c r="A119" s="1">
        <v>45812</v>
      </c>
      <c r="B119">
        <v>9.82</v>
      </c>
      <c r="C119">
        <v>115.2</v>
      </c>
      <c r="D119">
        <f t="shared" si="1"/>
        <v>115200000</v>
      </c>
      <c r="E119" s="2">
        <v>-4.1000000000000002E-2</v>
      </c>
    </row>
    <row r="120" spans="1:5" x14ac:dyDescent="0.3">
      <c r="A120" t="s">
        <v>74</v>
      </c>
      <c r="B120">
        <v>10.02</v>
      </c>
      <c r="C120">
        <v>34.61</v>
      </c>
      <c r="D120">
        <f t="shared" si="1"/>
        <v>34610000</v>
      </c>
      <c r="E120" s="2">
        <v>2.0400000000000001E-2</v>
      </c>
    </row>
    <row r="121" spans="1:5" x14ac:dyDescent="0.3">
      <c r="A121" t="s">
        <v>75</v>
      </c>
      <c r="B121">
        <v>9.8699999999999992</v>
      </c>
      <c r="C121">
        <v>36.06</v>
      </c>
      <c r="D121">
        <f t="shared" si="1"/>
        <v>36060000</v>
      </c>
      <c r="E121" s="2">
        <v>-1.4999999999999999E-2</v>
      </c>
    </row>
    <row r="122" spans="1:5" x14ac:dyDescent="0.3">
      <c r="A122" t="s">
        <v>76</v>
      </c>
      <c r="B122">
        <v>9.99</v>
      </c>
      <c r="C122">
        <v>48.9</v>
      </c>
      <c r="D122">
        <f t="shared" si="1"/>
        <v>48900000</v>
      </c>
      <c r="E122" s="2">
        <v>1.2200000000000001E-2</v>
      </c>
    </row>
    <row r="123" spans="1:5" x14ac:dyDescent="0.3">
      <c r="A123" s="1">
        <v>45752</v>
      </c>
      <c r="B123">
        <v>9.89</v>
      </c>
      <c r="C123">
        <v>48.74</v>
      </c>
      <c r="D123">
        <f t="shared" si="1"/>
        <v>48740000</v>
      </c>
      <c r="E123" s="2">
        <v>-0.01</v>
      </c>
    </row>
    <row r="124" spans="1:5" x14ac:dyDescent="0.3">
      <c r="A124" s="1">
        <v>45966</v>
      </c>
      <c r="B124">
        <v>10.14</v>
      </c>
      <c r="C124">
        <v>67.400000000000006</v>
      </c>
      <c r="D124">
        <f t="shared" si="1"/>
        <v>67400000</v>
      </c>
      <c r="E124" s="2">
        <v>2.53E-2</v>
      </c>
    </row>
    <row r="125" spans="1:5" x14ac:dyDescent="0.3">
      <c r="A125" t="s">
        <v>77</v>
      </c>
      <c r="B125">
        <v>9.8800000000000008</v>
      </c>
      <c r="C125">
        <v>50.44</v>
      </c>
      <c r="D125">
        <f t="shared" si="1"/>
        <v>50440000</v>
      </c>
      <c r="E125" s="2">
        <v>-2.5600000000000001E-2</v>
      </c>
    </row>
    <row r="126" spans="1:5" x14ac:dyDescent="0.3">
      <c r="A126" t="s">
        <v>78</v>
      </c>
      <c r="B126">
        <v>9.7799999999999994</v>
      </c>
      <c r="C126">
        <v>64.790000000000006</v>
      </c>
      <c r="D126">
        <f t="shared" si="1"/>
        <v>64790000.000000007</v>
      </c>
      <c r="E126" s="2">
        <v>-1.01E-2</v>
      </c>
    </row>
    <row r="127" spans="1:5" x14ac:dyDescent="0.3">
      <c r="A127" s="1">
        <v>45663</v>
      </c>
      <c r="B127">
        <v>9.6999999999999993</v>
      </c>
      <c r="C127">
        <v>33.71</v>
      </c>
      <c r="D127">
        <f t="shared" si="1"/>
        <v>33710000</v>
      </c>
      <c r="E127" s="2">
        <v>-8.2000000000000007E-3</v>
      </c>
    </row>
    <row r="128" spans="1:5" x14ac:dyDescent="0.3">
      <c r="A128" s="1">
        <v>45875</v>
      </c>
      <c r="B128">
        <v>9.6999999999999993</v>
      </c>
      <c r="C128">
        <v>37.909999999999997</v>
      </c>
      <c r="D128">
        <f t="shared" si="1"/>
        <v>37910000</v>
      </c>
      <c r="E128" s="2">
        <v>0</v>
      </c>
    </row>
    <row r="129" spans="1:5" x14ac:dyDescent="0.3">
      <c r="A129" t="s">
        <v>79</v>
      </c>
      <c r="B129">
        <v>9.66</v>
      </c>
      <c r="C129">
        <v>51.09</v>
      </c>
      <c r="D129">
        <f t="shared" si="1"/>
        <v>51090000</v>
      </c>
      <c r="E129" s="2">
        <v>-4.1000000000000003E-3</v>
      </c>
    </row>
    <row r="130" spans="1:5" x14ac:dyDescent="0.3">
      <c r="A130" t="s">
        <v>80</v>
      </c>
      <c r="B130">
        <v>9.81</v>
      </c>
      <c r="C130">
        <v>48.25</v>
      </c>
      <c r="D130">
        <f t="shared" si="1"/>
        <v>48250000</v>
      </c>
      <c r="E130" s="2">
        <v>1.55E-2</v>
      </c>
    </row>
    <row r="131" spans="1:5" x14ac:dyDescent="0.3">
      <c r="A131" t="s">
        <v>81</v>
      </c>
      <c r="B131">
        <v>9.74</v>
      </c>
      <c r="C131">
        <v>52.58</v>
      </c>
      <c r="D131">
        <f t="shared" ref="D131:D150" si="2">C131*1000000</f>
        <v>52580000</v>
      </c>
      <c r="E131" s="2">
        <v>-7.1000000000000004E-3</v>
      </c>
    </row>
    <row r="132" spans="1:5" x14ac:dyDescent="0.3">
      <c r="A132" s="1">
        <v>45815</v>
      </c>
      <c r="B132">
        <v>9.69</v>
      </c>
      <c r="C132">
        <v>54.96</v>
      </c>
      <c r="D132">
        <f t="shared" si="2"/>
        <v>54960000</v>
      </c>
      <c r="E132" s="2">
        <v>-5.1000000000000004E-3</v>
      </c>
    </row>
    <row r="133" spans="1:5" x14ac:dyDescent="0.3">
      <c r="A133" t="s">
        <v>82</v>
      </c>
      <c r="B133">
        <v>9.52</v>
      </c>
      <c r="C133">
        <v>51.55</v>
      </c>
      <c r="D133">
        <f t="shared" si="2"/>
        <v>51550000</v>
      </c>
      <c r="E133" s="2">
        <v>-1.7500000000000002E-2</v>
      </c>
    </row>
    <row r="134" spans="1:5" x14ac:dyDescent="0.3">
      <c r="A134" t="s">
        <v>83</v>
      </c>
      <c r="B134">
        <v>9.5399999999999991</v>
      </c>
      <c r="C134">
        <v>64.14</v>
      </c>
      <c r="D134">
        <f t="shared" si="2"/>
        <v>64140000</v>
      </c>
      <c r="E134" s="2">
        <v>2.0999999999999999E-3</v>
      </c>
    </row>
    <row r="135" spans="1:5" x14ac:dyDescent="0.3">
      <c r="A135" t="s">
        <v>84</v>
      </c>
      <c r="B135">
        <v>9.6</v>
      </c>
      <c r="C135">
        <v>70.83</v>
      </c>
      <c r="D135">
        <f t="shared" si="2"/>
        <v>70830000</v>
      </c>
      <c r="E135" s="2">
        <v>6.3E-3</v>
      </c>
    </row>
    <row r="136" spans="1:5" x14ac:dyDescent="0.3">
      <c r="A136" s="1">
        <v>45724</v>
      </c>
      <c r="B136">
        <v>9.61</v>
      </c>
      <c r="C136">
        <v>54.61</v>
      </c>
      <c r="D136">
        <f t="shared" si="2"/>
        <v>54610000</v>
      </c>
      <c r="E136" s="2">
        <v>1E-3</v>
      </c>
    </row>
    <row r="137" spans="1:5" x14ac:dyDescent="0.3">
      <c r="A137" s="1">
        <v>45938</v>
      </c>
      <c r="B137">
        <v>9.8000000000000007</v>
      </c>
      <c r="C137">
        <v>65.52</v>
      </c>
      <c r="D137">
        <f t="shared" si="2"/>
        <v>65519999.999999993</v>
      </c>
      <c r="E137" s="2">
        <v>1.9800000000000002E-2</v>
      </c>
    </row>
    <row r="138" spans="1:5" x14ac:dyDescent="0.3">
      <c r="A138" t="s">
        <v>85</v>
      </c>
      <c r="B138">
        <v>9.8000000000000007</v>
      </c>
      <c r="C138">
        <v>76.209999999999994</v>
      </c>
      <c r="D138">
        <f t="shared" si="2"/>
        <v>76210000</v>
      </c>
      <c r="E138" s="2">
        <v>0</v>
      </c>
    </row>
    <row r="139" spans="1:5" x14ac:dyDescent="0.3">
      <c r="A139" t="s">
        <v>86</v>
      </c>
      <c r="B139">
        <v>9.9</v>
      </c>
      <c r="C139">
        <v>133.81</v>
      </c>
      <c r="D139">
        <f t="shared" si="2"/>
        <v>133810000</v>
      </c>
      <c r="E139" s="2">
        <v>1.0200000000000001E-2</v>
      </c>
    </row>
    <row r="140" spans="1:5" x14ac:dyDescent="0.3">
      <c r="A140" t="s">
        <v>87</v>
      </c>
      <c r="B140">
        <v>9.99</v>
      </c>
      <c r="C140">
        <v>31.28</v>
      </c>
      <c r="D140">
        <f t="shared" si="2"/>
        <v>31280000</v>
      </c>
      <c r="E140" s="2">
        <v>9.1000000000000004E-3</v>
      </c>
    </row>
    <row r="141" spans="1:5" x14ac:dyDescent="0.3">
      <c r="A141" s="1">
        <v>45847</v>
      </c>
      <c r="B141">
        <v>9.8699999999999992</v>
      </c>
      <c r="C141">
        <v>56.57</v>
      </c>
      <c r="D141">
        <f t="shared" si="2"/>
        <v>56570000</v>
      </c>
      <c r="E141" s="2">
        <v>-1.2E-2</v>
      </c>
    </row>
    <row r="142" spans="1:5" x14ac:dyDescent="0.3">
      <c r="A142" t="s">
        <v>88</v>
      </c>
      <c r="B142">
        <v>9.8000000000000007</v>
      </c>
      <c r="C142">
        <v>33.54</v>
      </c>
      <c r="D142">
        <f t="shared" si="2"/>
        <v>33540000</v>
      </c>
      <c r="E142" s="2">
        <v>-7.1000000000000004E-3</v>
      </c>
    </row>
    <row r="143" spans="1:5" x14ac:dyDescent="0.3">
      <c r="A143" t="s">
        <v>89</v>
      </c>
      <c r="B143">
        <v>9.89</v>
      </c>
      <c r="C143">
        <v>50.26</v>
      </c>
      <c r="D143">
        <f t="shared" si="2"/>
        <v>50260000</v>
      </c>
      <c r="E143" s="2">
        <v>9.1999999999999998E-3</v>
      </c>
    </row>
    <row r="144" spans="1:5" x14ac:dyDescent="0.3">
      <c r="A144" t="s">
        <v>90</v>
      </c>
      <c r="B144">
        <v>10</v>
      </c>
      <c r="C144">
        <v>54.95</v>
      </c>
      <c r="D144">
        <f t="shared" si="2"/>
        <v>54950000</v>
      </c>
      <c r="E144" s="2">
        <v>1.11E-2</v>
      </c>
    </row>
    <row r="145" spans="1:5" x14ac:dyDescent="0.3">
      <c r="A145" s="1">
        <v>45787</v>
      </c>
      <c r="B145">
        <v>9.9499999999999993</v>
      </c>
      <c r="C145">
        <v>37.35</v>
      </c>
      <c r="D145">
        <f t="shared" si="2"/>
        <v>37350000</v>
      </c>
      <c r="E145" s="2">
        <v>-5.0000000000000001E-3</v>
      </c>
    </row>
    <row r="146" spans="1:5" x14ac:dyDescent="0.3">
      <c r="A146" s="1">
        <v>46001</v>
      </c>
      <c r="B146">
        <v>9.89</v>
      </c>
      <c r="C146">
        <v>53.41</v>
      </c>
      <c r="D146">
        <f t="shared" si="2"/>
        <v>53410000</v>
      </c>
      <c r="E146" s="2">
        <v>-6.0000000000000001E-3</v>
      </c>
    </row>
    <row r="147" spans="1:5" x14ac:dyDescent="0.3">
      <c r="A147" t="s">
        <v>91</v>
      </c>
      <c r="B147">
        <v>9.9</v>
      </c>
      <c r="C147">
        <v>43.01</v>
      </c>
      <c r="D147">
        <f t="shared" si="2"/>
        <v>43010000</v>
      </c>
      <c r="E147" s="2">
        <v>1E-3</v>
      </c>
    </row>
    <row r="148" spans="1:5" x14ac:dyDescent="0.3">
      <c r="A148" t="s">
        <v>92</v>
      </c>
      <c r="B148">
        <v>9.8699999999999992</v>
      </c>
      <c r="C148">
        <v>47.13</v>
      </c>
      <c r="D148">
        <f t="shared" si="2"/>
        <v>47130000</v>
      </c>
      <c r="E148" s="2">
        <v>-3.0000000000000001E-3</v>
      </c>
    </row>
    <row r="149" spans="1:5" x14ac:dyDescent="0.3">
      <c r="A149" s="1">
        <v>45699</v>
      </c>
      <c r="B149">
        <v>9.91</v>
      </c>
      <c r="C149">
        <v>56.07</v>
      </c>
      <c r="D149">
        <f t="shared" si="2"/>
        <v>56070000</v>
      </c>
      <c r="E149" s="2">
        <v>4.1000000000000003E-3</v>
      </c>
    </row>
    <row r="150" spans="1:5" x14ac:dyDescent="0.3">
      <c r="A150" s="1">
        <v>45911</v>
      </c>
      <c r="B150">
        <v>9.93</v>
      </c>
      <c r="C150">
        <v>47.19</v>
      </c>
      <c r="D150">
        <f t="shared" si="2"/>
        <v>47190000</v>
      </c>
      <c r="E150" s="2">
        <v>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C3DC-2AD7-4707-80BB-34213F0D4978}">
  <dimension ref="A1:J150"/>
  <sheetViews>
    <sheetView zoomScale="83" workbookViewId="0">
      <pane xSplit="1" ySplit="1" topLeftCell="D123" activePane="bottomRight" state="frozen"/>
      <selection pane="topRight" activeCell="B1" sqref="B1"/>
      <selection pane="bottomLeft" activeCell="A2" sqref="A2"/>
      <selection pane="bottomRight" activeCell="I145" sqref="I145"/>
    </sheetView>
  </sheetViews>
  <sheetFormatPr defaultRowHeight="14.4" x14ac:dyDescent="0.3"/>
  <cols>
    <col min="1" max="1" width="11.6640625" customWidth="1"/>
    <col min="2" max="4" width="8.77734375" customWidth="1"/>
    <col min="5" max="5" width="17.77734375" style="13" customWidth="1"/>
    <col min="6" max="6" width="9.5546875" customWidth="1"/>
    <col min="7" max="7" width="8.77734375" bestFit="1" customWidth="1"/>
    <col min="8" max="8" width="18.21875" bestFit="1" customWidth="1"/>
    <col min="9" max="9" width="12.21875" customWidth="1"/>
  </cols>
  <sheetData>
    <row r="1" spans="1:10" x14ac:dyDescent="0.3">
      <c r="A1" t="s">
        <v>0</v>
      </c>
      <c r="B1" t="s">
        <v>1</v>
      </c>
      <c r="C1" t="s">
        <v>98</v>
      </c>
      <c r="D1" t="s">
        <v>3</v>
      </c>
      <c r="E1" s="12" t="s">
        <v>99</v>
      </c>
      <c r="F1" s="3" t="s">
        <v>100</v>
      </c>
      <c r="G1" s="4" t="s">
        <v>101</v>
      </c>
      <c r="H1" s="5" t="s">
        <v>102</v>
      </c>
      <c r="I1" s="6" t="s">
        <v>103</v>
      </c>
      <c r="J1" t="s">
        <v>119</v>
      </c>
    </row>
    <row r="2" spans="1:10" x14ac:dyDescent="0.3">
      <c r="A2" s="1">
        <v>45139</v>
      </c>
      <c r="B2">
        <v>8.86</v>
      </c>
      <c r="C2">
        <v>40.61</v>
      </c>
      <c r="D2" s="2">
        <v>1.03E-2</v>
      </c>
    </row>
    <row r="3" spans="1:10" x14ac:dyDescent="0.3">
      <c r="A3" t="s">
        <v>4</v>
      </c>
      <c r="B3">
        <v>8.8000000000000007</v>
      </c>
      <c r="C3">
        <v>53.28</v>
      </c>
      <c r="D3" s="2">
        <v>-6.7999999999999996E-3</v>
      </c>
      <c r="E3" s="13">
        <f>LN(B3/B2)</f>
        <v>-6.7950431328286896E-3</v>
      </c>
    </row>
    <row r="4" spans="1:10" x14ac:dyDescent="0.3">
      <c r="A4" t="s">
        <v>5</v>
      </c>
      <c r="B4">
        <v>8.74</v>
      </c>
      <c r="C4">
        <v>18.440000000000001</v>
      </c>
      <c r="D4" s="2">
        <v>-6.7999999999999996E-3</v>
      </c>
      <c r="E4" s="13">
        <f t="shared" ref="E4:E67" si="0">LN(B4/B3)</f>
        <v>-6.8415318167167121E-3</v>
      </c>
    </row>
    <row r="5" spans="1:10" x14ac:dyDescent="0.3">
      <c r="A5" t="s">
        <v>6</v>
      </c>
      <c r="B5">
        <v>8.7100000000000009</v>
      </c>
      <c r="C5">
        <v>47.88</v>
      </c>
      <c r="D5" s="2">
        <v>-3.3999999999999998E-3</v>
      </c>
      <c r="E5" s="13">
        <f t="shared" si="0"/>
        <v>-3.4383988030325975E-3</v>
      </c>
    </row>
    <row r="6" spans="1:10" x14ac:dyDescent="0.3">
      <c r="A6" s="1">
        <v>45048</v>
      </c>
      <c r="B6">
        <v>8.75</v>
      </c>
      <c r="C6">
        <v>37.659999999999997</v>
      </c>
      <c r="D6" s="2">
        <v>4.5999999999999999E-3</v>
      </c>
      <c r="E6" s="13">
        <f t="shared" si="0"/>
        <v>4.5819095051115441E-3</v>
      </c>
    </row>
    <row r="7" spans="1:10" x14ac:dyDescent="0.3">
      <c r="A7" s="1">
        <v>45262</v>
      </c>
      <c r="B7">
        <v>8.75</v>
      </c>
      <c r="C7">
        <v>43.34</v>
      </c>
      <c r="D7" s="2">
        <v>0</v>
      </c>
      <c r="E7" s="13">
        <f t="shared" si="0"/>
        <v>0</v>
      </c>
    </row>
    <row r="8" spans="1:10" x14ac:dyDescent="0.3">
      <c r="A8" t="s">
        <v>7</v>
      </c>
      <c r="B8">
        <v>8.74</v>
      </c>
      <c r="C8">
        <v>22.05</v>
      </c>
      <c r="D8" s="2">
        <v>-1.1000000000000001E-3</v>
      </c>
      <c r="E8" s="13">
        <f t="shared" si="0"/>
        <v>-1.1435107020789379E-3</v>
      </c>
    </row>
    <row r="9" spans="1:10" x14ac:dyDescent="0.3">
      <c r="A9" t="s">
        <v>8</v>
      </c>
      <c r="B9">
        <v>8.7100000000000009</v>
      </c>
      <c r="C9">
        <v>49.55</v>
      </c>
      <c r="D9" s="2">
        <v>-3.3999999999999998E-3</v>
      </c>
      <c r="E9" s="13">
        <f t="shared" si="0"/>
        <v>-3.4383988030325975E-3</v>
      </c>
    </row>
    <row r="10" spans="1:10" x14ac:dyDescent="0.3">
      <c r="A10" s="1">
        <v>45049</v>
      </c>
      <c r="B10">
        <v>8.6999999999999993</v>
      </c>
      <c r="C10">
        <v>48.68</v>
      </c>
      <c r="D10" s="2">
        <v>-1.1000000000000001E-3</v>
      </c>
      <c r="E10" s="13">
        <f t="shared" si="0"/>
        <v>-1.1487652038735931E-3</v>
      </c>
    </row>
    <row r="11" spans="1:10" x14ac:dyDescent="0.3">
      <c r="A11" s="1">
        <v>45263</v>
      </c>
      <c r="B11">
        <v>8.3800000000000008</v>
      </c>
      <c r="C11">
        <v>57.35</v>
      </c>
      <c r="D11" s="2">
        <v>-3.6799999999999999E-2</v>
      </c>
      <c r="E11" s="13">
        <f t="shared" si="0"/>
        <v>-3.747511116654613E-2</v>
      </c>
    </row>
    <row r="12" spans="1:10" x14ac:dyDescent="0.3">
      <c r="A12" t="s">
        <v>9</v>
      </c>
      <c r="B12">
        <v>8.43</v>
      </c>
      <c r="C12">
        <v>22.18</v>
      </c>
      <c r="D12" s="2">
        <v>6.0000000000000001E-3</v>
      </c>
      <c r="E12" s="13">
        <f t="shared" si="0"/>
        <v>5.9488575197722635E-3</v>
      </c>
    </row>
    <row r="13" spans="1:10" x14ac:dyDescent="0.3">
      <c r="A13" t="s">
        <v>10</v>
      </c>
      <c r="B13">
        <v>8.57</v>
      </c>
      <c r="C13">
        <v>25.09</v>
      </c>
      <c r="D13" s="2">
        <v>1.66E-2</v>
      </c>
      <c r="E13" s="13">
        <f t="shared" si="0"/>
        <v>1.6470960595924497E-2</v>
      </c>
    </row>
    <row r="14" spans="1:10" x14ac:dyDescent="0.3">
      <c r="A14" s="1">
        <v>44961</v>
      </c>
      <c r="B14">
        <v>8.66</v>
      </c>
      <c r="C14">
        <v>19.39</v>
      </c>
      <c r="D14" s="2">
        <v>1.0500000000000001E-2</v>
      </c>
      <c r="E14" s="13">
        <f t="shared" si="0"/>
        <v>1.0446989964655375E-2</v>
      </c>
    </row>
    <row r="15" spans="1:10" x14ac:dyDescent="0.3">
      <c r="A15" s="1">
        <v>45173</v>
      </c>
      <c r="B15">
        <v>8.7100000000000009</v>
      </c>
      <c r="C15">
        <v>32.020000000000003</v>
      </c>
      <c r="D15" s="2">
        <v>5.7999999999999996E-3</v>
      </c>
      <c r="E15" s="13">
        <f t="shared" si="0"/>
        <v>5.7570682900677239E-3</v>
      </c>
    </row>
    <row r="16" spans="1:10" x14ac:dyDescent="0.3">
      <c r="A16" t="s">
        <v>11</v>
      </c>
      <c r="B16">
        <v>8.6999999999999993</v>
      </c>
      <c r="C16">
        <v>19.05</v>
      </c>
      <c r="D16" s="2">
        <v>-1.1000000000000001E-3</v>
      </c>
      <c r="E16" s="13">
        <f t="shared" si="0"/>
        <v>-1.1487652038735931E-3</v>
      </c>
    </row>
    <row r="17" spans="1:5" x14ac:dyDescent="0.3">
      <c r="A17" t="s">
        <v>12</v>
      </c>
      <c r="B17">
        <v>8.66</v>
      </c>
      <c r="C17">
        <v>27.47</v>
      </c>
      <c r="D17" s="2">
        <v>-4.5999999999999999E-3</v>
      </c>
      <c r="E17" s="13">
        <f t="shared" si="0"/>
        <v>-4.6083030861941068E-3</v>
      </c>
    </row>
    <row r="18" spans="1:5" x14ac:dyDescent="0.3">
      <c r="A18" t="s">
        <v>13</v>
      </c>
      <c r="B18">
        <v>8.75</v>
      </c>
      <c r="C18">
        <v>18.05</v>
      </c>
      <c r="D18" s="2">
        <v>1.04E-2</v>
      </c>
      <c r="E18" s="13">
        <f t="shared" si="0"/>
        <v>1.0338977795179293E-2</v>
      </c>
    </row>
    <row r="19" spans="1:5" x14ac:dyDescent="0.3">
      <c r="A19" s="1">
        <v>45112</v>
      </c>
      <c r="B19">
        <v>8.69</v>
      </c>
      <c r="C19">
        <v>27.97</v>
      </c>
      <c r="D19" s="2">
        <v>-6.8999999999999999E-3</v>
      </c>
      <c r="E19" s="13">
        <f t="shared" si="0"/>
        <v>-6.8807610922224285E-3</v>
      </c>
    </row>
    <row r="20" spans="1:5" x14ac:dyDescent="0.3">
      <c r="A20" t="s">
        <v>14</v>
      </c>
      <c r="B20">
        <v>8.7799999999999994</v>
      </c>
      <c r="C20">
        <v>19.66</v>
      </c>
      <c r="D20" s="2">
        <v>1.04E-2</v>
      </c>
      <c r="E20" s="13">
        <f t="shared" si="0"/>
        <v>1.0303468369724575E-2</v>
      </c>
    </row>
    <row r="21" spans="1:5" x14ac:dyDescent="0.3">
      <c r="A21" t="s">
        <v>15</v>
      </c>
      <c r="B21">
        <v>8.58</v>
      </c>
      <c r="C21">
        <v>42.49</v>
      </c>
      <c r="D21" s="2">
        <v>-2.2800000000000001E-2</v>
      </c>
      <c r="E21" s="13">
        <f t="shared" si="0"/>
        <v>-2.304249414715424E-2</v>
      </c>
    </row>
    <row r="22" spans="1:5" x14ac:dyDescent="0.3">
      <c r="A22" t="s">
        <v>16</v>
      </c>
      <c r="B22">
        <v>8.58</v>
      </c>
      <c r="C22">
        <v>90.71</v>
      </c>
      <c r="D22" s="2">
        <v>0</v>
      </c>
      <c r="E22" s="13">
        <f t="shared" si="0"/>
        <v>0</v>
      </c>
    </row>
    <row r="23" spans="1:5" x14ac:dyDescent="0.3">
      <c r="A23" s="1">
        <v>45022</v>
      </c>
      <c r="B23">
        <v>8.6199999999999992</v>
      </c>
      <c r="C23">
        <v>21.69</v>
      </c>
      <c r="D23" s="2">
        <v>4.7000000000000002E-3</v>
      </c>
      <c r="E23" s="13">
        <f t="shared" si="0"/>
        <v>4.6511711757306591E-3</v>
      </c>
    </row>
    <row r="24" spans="1:5" x14ac:dyDescent="0.3">
      <c r="A24" s="1">
        <v>45236</v>
      </c>
      <c r="B24">
        <v>8.57</v>
      </c>
      <c r="C24">
        <v>39.75</v>
      </c>
      <c r="D24" s="2">
        <v>-5.7999999999999996E-3</v>
      </c>
      <c r="E24" s="13">
        <f t="shared" si="0"/>
        <v>-5.8173520659132024E-3</v>
      </c>
    </row>
    <row r="25" spans="1:5" x14ac:dyDescent="0.3">
      <c r="A25" t="s">
        <v>17</v>
      </c>
      <c r="B25">
        <v>8.74</v>
      </c>
      <c r="C25">
        <v>28.97</v>
      </c>
      <c r="D25" s="2">
        <v>1.9800000000000002E-2</v>
      </c>
      <c r="E25" s="13">
        <f t="shared" si="0"/>
        <v>1.9642457057755566E-2</v>
      </c>
    </row>
    <row r="26" spans="1:5" x14ac:dyDescent="0.3">
      <c r="A26" t="s">
        <v>18</v>
      </c>
      <c r="B26">
        <v>8.6300000000000008</v>
      </c>
      <c r="C26">
        <v>28.3</v>
      </c>
      <c r="D26" s="2">
        <v>-1.26E-2</v>
      </c>
      <c r="E26" s="13">
        <f t="shared" si="0"/>
        <v>-1.2665684572107417E-2</v>
      </c>
    </row>
    <row r="27" spans="1:5" x14ac:dyDescent="0.3">
      <c r="A27" s="1">
        <v>44964</v>
      </c>
      <c r="B27">
        <v>8.67</v>
      </c>
      <c r="C27">
        <v>25.2</v>
      </c>
      <c r="D27" s="2">
        <v>4.5999999999999999E-3</v>
      </c>
      <c r="E27" s="13">
        <f t="shared" si="0"/>
        <v>4.6242856971137909E-3</v>
      </c>
    </row>
    <row r="28" spans="1:5" x14ac:dyDescent="0.3">
      <c r="A28" s="1">
        <v>45176</v>
      </c>
      <c r="B28">
        <v>8.8000000000000007</v>
      </c>
      <c r="C28">
        <v>36.57</v>
      </c>
      <c r="D28" s="2">
        <v>1.4999999999999999E-2</v>
      </c>
      <c r="E28" s="13">
        <f t="shared" si="0"/>
        <v>1.4882930691710457E-2</v>
      </c>
    </row>
    <row r="29" spans="1:5" x14ac:dyDescent="0.3">
      <c r="A29" t="s">
        <v>19</v>
      </c>
      <c r="B29">
        <v>8.7799999999999994</v>
      </c>
      <c r="C29">
        <v>30.45</v>
      </c>
      <c r="D29" s="2">
        <v>-2.3E-3</v>
      </c>
      <c r="E29" s="13">
        <f t="shared" si="0"/>
        <v>-2.2753138371356509E-3</v>
      </c>
    </row>
    <row r="30" spans="1:5" x14ac:dyDescent="0.3">
      <c r="A30" t="s">
        <v>20</v>
      </c>
      <c r="B30">
        <v>8.99</v>
      </c>
      <c r="C30">
        <v>53.4</v>
      </c>
      <c r="D30" s="2">
        <v>2.3900000000000001E-2</v>
      </c>
      <c r="E30" s="13">
        <f t="shared" si="0"/>
        <v>2.3636440836503753E-2</v>
      </c>
    </row>
    <row r="31" spans="1:5" x14ac:dyDescent="0.3">
      <c r="A31" t="s">
        <v>21</v>
      </c>
      <c r="B31">
        <v>8.91</v>
      </c>
      <c r="C31">
        <v>43.64</v>
      </c>
      <c r="D31" s="2">
        <v>-8.8999999999999999E-3</v>
      </c>
      <c r="E31" s="13">
        <f t="shared" si="0"/>
        <v>-8.9386070008110208E-3</v>
      </c>
    </row>
    <row r="32" spans="1:5" x14ac:dyDescent="0.3">
      <c r="A32" s="1">
        <v>45085</v>
      </c>
      <c r="B32">
        <v>9.02</v>
      </c>
      <c r="C32">
        <v>56.96</v>
      </c>
      <c r="D32" s="2">
        <v>1.23E-2</v>
      </c>
      <c r="E32" s="13">
        <f t="shared" si="0"/>
        <v>1.2270092591814183E-2</v>
      </c>
    </row>
    <row r="33" spans="1:5" x14ac:dyDescent="0.3">
      <c r="A33" t="s">
        <v>22</v>
      </c>
      <c r="B33">
        <v>9</v>
      </c>
      <c r="C33">
        <v>45.79</v>
      </c>
      <c r="D33" s="2">
        <v>-2.2000000000000001E-3</v>
      </c>
      <c r="E33" s="13">
        <f t="shared" si="0"/>
        <v>-2.2197567383128881E-3</v>
      </c>
    </row>
    <row r="34" spans="1:5" x14ac:dyDescent="0.3">
      <c r="A34" t="s">
        <v>23</v>
      </c>
      <c r="B34">
        <v>9.02</v>
      </c>
      <c r="C34">
        <v>43.68</v>
      </c>
      <c r="D34" s="2">
        <v>2.2000000000000001E-3</v>
      </c>
      <c r="E34" s="13">
        <f t="shared" si="0"/>
        <v>2.21975673831281E-3</v>
      </c>
    </row>
    <row r="35" spans="1:5" x14ac:dyDescent="0.3">
      <c r="A35" t="s">
        <v>24</v>
      </c>
      <c r="B35">
        <v>9.15</v>
      </c>
      <c r="C35">
        <v>45.38</v>
      </c>
      <c r="D35" s="2">
        <v>1.44E-2</v>
      </c>
      <c r="E35" s="13">
        <f t="shared" si="0"/>
        <v>1.4309545212897651E-2</v>
      </c>
    </row>
    <row r="36" spans="1:5" x14ac:dyDescent="0.3">
      <c r="A36" s="1">
        <v>44994</v>
      </c>
      <c r="B36">
        <v>9.14</v>
      </c>
      <c r="C36">
        <v>36.630000000000003</v>
      </c>
      <c r="D36" s="2">
        <v>-1.1000000000000001E-3</v>
      </c>
      <c r="E36" s="13">
        <f t="shared" si="0"/>
        <v>-1.0934938213713295E-3</v>
      </c>
    </row>
    <row r="37" spans="1:5" x14ac:dyDescent="0.3">
      <c r="A37" s="1">
        <v>45208</v>
      </c>
      <c r="B37">
        <v>8.91</v>
      </c>
      <c r="C37">
        <v>59.45</v>
      </c>
      <c r="D37" s="2">
        <v>-2.52E-2</v>
      </c>
      <c r="E37" s="13">
        <f t="shared" si="0"/>
        <v>-2.5486143983340766E-2</v>
      </c>
    </row>
    <row r="38" spans="1:5" x14ac:dyDescent="0.3">
      <c r="A38" t="s">
        <v>25</v>
      </c>
      <c r="B38">
        <v>8.8800000000000008</v>
      </c>
      <c r="C38">
        <v>33.340000000000003</v>
      </c>
      <c r="D38" s="2">
        <v>-3.3999999999999998E-3</v>
      </c>
      <c r="E38" s="13">
        <f t="shared" si="0"/>
        <v>-3.3726844786391187E-3</v>
      </c>
    </row>
    <row r="39" spans="1:5" x14ac:dyDescent="0.3">
      <c r="A39" t="s">
        <v>26</v>
      </c>
      <c r="B39">
        <v>8.7899999999999991</v>
      </c>
      <c r="C39">
        <v>37.51</v>
      </c>
      <c r="D39" s="2">
        <v>-1.01E-2</v>
      </c>
      <c r="E39" s="13">
        <f t="shared" si="0"/>
        <v>-1.0186845306993243E-2</v>
      </c>
    </row>
    <row r="40" spans="1:5" x14ac:dyDescent="0.3">
      <c r="A40" s="1">
        <v>44936</v>
      </c>
      <c r="B40">
        <v>8.77</v>
      </c>
      <c r="C40">
        <v>76.25</v>
      </c>
      <c r="D40" s="2">
        <v>-2.3E-3</v>
      </c>
      <c r="E40" s="13">
        <f t="shared" si="0"/>
        <v>-2.2779053129939539E-3</v>
      </c>
    </row>
    <row r="41" spans="1:5" x14ac:dyDescent="0.3">
      <c r="A41" s="1">
        <v>45148</v>
      </c>
      <c r="B41">
        <v>8.98</v>
      </c>
      <c r="C41">
        <v>33.74</v>
      </c>
      <c r="D41" s="2">
        <v>2.3900000000000001E-2</v>
      </c>
      <c r="E41" s="13">
        <f t="shared" si="0"/>
        <v>2.3663075930016722E-2</v>
      </c>
    </row>
    <row r="42" spans="1:5" x14ac:dyDescent="0.3">
      <c r="A42" t="s">
        <v>27</v>
      </c>
      <c r="B42">
        <v>8.99</v>
      </c>
      <c r="C42">
        <v>43.37</v>
      </c>
      <c r="D42" s="2">
        <v>1.1000000000000001E-3</v>
      </c>
      <c r="E42" s="13">
        <f t="shared" si="0"/>
        <v>1.1129661694206506E-3</v>
      </c>
    </row>
    <row r="43" spans="1:5" x14ac:dyDescent="0.3">
      <c r="A43" t="s">
        <v>28</v>
      </c>
      <c r="B43">
        <v>9</v>
      </c>
      <c r="C43">
        <v>37.979999999999997</v>
      </c>
      <c r="D43" s="2">
        <v>1.1000000000000001E-3</v>
      </c>
      <c r="E43" s="13">
        <f t="shared" si="0"/>
        <v>1.1117288526904154E-3</v>
      </c>
    </row>
    <row r="44" spans="1:5" x14ac:dyDescent="0.3">
      <c r="A44" t="s">
        <v>29</v>
      </c>
      <c r="B44">
        <v>9.0399999999999991</v>
      </c>
      <c r="C44">
        <v>31.03</v>
      </c>
      <c r="D44" s="2">
        <v>4.4000000000000003E-3</v>
      </c>
      <c r="E44" s="13">
        <f t="shared" si="0"/>
        <v>4.4345970678655536E-3</v>
      </c>
    </row>
    <row r="45" spans="1:5" x14ac:dyDescent="0.3">
      <c r="A45" s="1">
        <v>45057</v>
      </c>
      <c r="B45">
        <v>9.08</v>
      </c>
      <c r="C45">
        <v>25.69</v>
      </c>
      <c r="D45" s="2">
        <v>4.4000000000000003E-3</v>
      </c>
      <c r="E45" s="13">
        <f t="shared" si="0"/>
        <v>4.4150182091169145E-3</v>
      </c>
    </row>
    <row r="46" spans="1:5" x14ac:dyDescent="0.3">
      <c r="A46" s="1">
        <v>45271</v>
      </c>
      <c r="B46">
        <v>9.1199999999999992</v>
      </c>
      <c r="C46">
        <v>32.630000000000003</v>
      </c>
      <c r="D46" s="2">
        <v>4.4000000000000003E-3</v>
      </c>
      <c r="E46" s="13">
        <f t="shared" si="0"/>
        <v>4.3956114730379081E-3</v>
      </c>
    </row>
    <row r="47" spans="1:5" x14ac:dyDescent="0.3">
      <c r="A47" t="s">
        <v>30</v>
      </c>
      <c r="B47">
        <v>9.09</v>
      </c>
      <c r="C47">
        <v>33.630000000000003</v>
      </c>
      <c r="D47" s="2">
        <v>-3.3E-3</v>
      </c>
      <c r="E47" s="13">
        <f t="shared" si="0"/>
        <v>-3.2948958968525379E-3</v>
      </c>
    </row>
    <row r="48" spans="1:5" x14ac:dyDescent="0.3">
      <c r="A48" t="s">
        <v>31</v>
      </c>
      <c r="B48">
        <v>9</v>
      </c>
      <c r="C48">
        <v>37.64</v>
      </c>
      <c r="D48" s="2">
        <v>-9.9000000000000008E-3</v>
      </c>
      <c r="E48" s="13">
        <f t="shared" si="0"/>
        <v>-9.950330853168092E-3</v>
      </c>
    </row>
    <row r="49" spans="1:10" x14ac:dyDescent="0.3">
      <c r="A49" s="1">
        <v>44997</v>
      </c>
      <c r="B49">
        <v>9.0399999999999991</v>
      </c>
      <c r="C49">
        <v>27.87</v>
      </c>
      <c r="D49" s="2">
        <v>4.4000000000000003E-3</v>
      </c>
      <c r="E49" s="13">
        <f t="shared" si="0"/>
        <v>4.4345970678655536E-3</v>
      </c>
    </row>
    <row r="50" spans="1:10" x14ac:dyDescent="0.3">
      <c r="A50" s="1">
        <v>45211</v>
      </c>
      <c r="B50">
        <v>9</v>
      </c>
      <c r="C50">
        <v>56.39</v>
      </c>
      <c r="D50" s="2">
        <v>-4.4000000000000003E-3</v>
      </c>
      <c r="E50" s="13">
        <f t="shared" si="0"/>
        <v>-4.4345970678656412E-3</v>
      </c>
    </row>
    <row r="51" spans="1:10" x14ac:dyDescent="0.3">
      <c r="A51" t="s">
        <v>32</v>
      </c>
      <c r="B51">
        <v>8.89</v>
      </c>
      <c r="C51">
        <v>58.24</v>
      </c>
      <c r="D51" s="2">
        <v>-1.2200000000000001E-2</v>
      </c>
      <c r="E51" s="13">
        <f t="shared" si="0"/>
        <v>-1.2297527810406083E-2</v>
      </c>
    </row>
    <row r="52" spans="1:10" x14ac:dyDescent="0.3">
      <c r="A52" t="s">
        <v>33</v>
      </c>
      <c r="B52">
        <v>8.89</v>
      </c>
      <c r="C52">
        <v>42.38</v>
      </c>
      <c r="D52" s="2">
        <v>0</v>
      </c>
      <c r="E52" s="13">
        <f t="shared" si="0"/>
        <v>0</v>
      </c>
    </row>
    <row r="53" spans="1:10" x14ac:dyDescent="0.3">
      <c r="A53" t="s">
        <v>34</v>
      </c>
      <c r="B53">
        <v>9.06</v>
      </c>
      <c r="C53">
        <v>25.15</v>
      </c>
      <c r="D53" s="2">
        <v>1.9099999999999999E-2</v>
      </c>
      <c r="E53" s="13">
        <f t="shared" si="0"/>
        <v>1.8942070529074841E-2</v>
      </c>
      <c r="J53">
        <f>AVERAGE(B2:B53)</f>
        <v>8.8234615384615385</v>
      </c>
    </row>
    <row r="54" spans="1:10" x14ac:dyDescent="0.3">
      <c r="A54" s="1">
        <v>45474</v>
      </c>
      <c r="B54">
        <v>9.06</v>
      </c>
      <c r="C54">
        <v>29.38</v>
      </c>
      <c r="D54" s="2">
        <v>0</v>
      </c>
      <c r="E54" s="13">
        <f t="shared" si="0"/>
        <v>0</v>
      </c>
      <c r="F54">
        <f t="shared" ref="F54:F85" si="1">AVERAGE(E3:E54)</f>
        <v>4.2927606611342542E-4</v>
      </c>
      <c r="G54">
        <f t="shared" ref="G54:G85" si="2">_xlfn.STDEV.S(E3:E54)</f>
        <v>1.1464061286618994E-2</v>
      </c>
      <c r="H54">
        <f>G54/SQRT(52)</f>
        <v>1.5897792613064022E-3</v>
      </c>
      <c r="I54">
        <f>F54-(H54^2)/2</f>
        <v>4.2801236706358544E-4</v>
      </c>
      <c r="J54">
        <f t="shared" ref="J54:J117" si="3">AVERAGE(B3:B54)</f>
        <v>8.8273076923076932</v>
      </c>
    </row>
    <row r="55" spans="1:10" x14ac:dyDescent="0.3">
      <c r="A55" t="s">
        <v>35</v>
      </c>
      <c r="B55">
        <v>9.0299999999999994</v>
      </c>
      <c r="C55">
        <v>38.18</v>
      </c>
      <c r="D55" s="2">
        <v>-3.3E-3</v>
      </c>
      <c r="E55" s="13">
        <f t="shared" si="0"/>
        <v>-3.3167526259940379E-3</v>
      </c>
      <c r="F55">
        <f t="shared" si="1"/>
        <v>4.9616626816793808E-4</v>
      </c>
      <c r="G55">
        <f t="shared" si="2"/>
        <v>1.1431182876598566E-2</v>
      </c>
      <c r="H55">
        <f t="shared" ref="H55:H118" si="4">G55/SQRT(52)</f>
        <v>1.585219846183926E-3</v>
      </c>
      <c r="I55">
        <f t="shared" ref="I55:I118" si="5">F55-(H55^2)/2</f>
        <v>4.9490980718757034E-4</v>
      </c>
      <c r="J55">
        <f t="shared" si="3"/>
        <v>8.8317307692307701</v>
      </c>
    </row>
    <row r="56" spans="1:10" x14ac:dyDescent="0.3">
      <c r="A56" t="s">
        <v>36</v>
      </c>
      <c r="B56">
        <v>9.14</v>
      </c>
      <c r="C56">
        <v>31.02</v>
      </c>
      <c r="D56" s="2">
        <v>1.2200000000000001E-2</v>
      </c>
      <c r="E56" s="13">
        <f t="shared" si="0"/>
        <v>1.2108018037164704E-2</v>
      </c>
      <c r="F56">
        <f t="shared" si="1"/>
        <v>8.6058068843488809E-4</v>
      </c>
      <c r="G56">
        <f t="shared" si="2"/>
        <v>1.1494548442687838E-2</v>
      </c>
      <c r="H56">
        <f t="shared" si="4"/>
        <v>1.5940070691698365E-3</v>
      </c>
      <c r="I56">
        <f t="shared" si="5"/>
        <v>8.5931025916660643E-4</v>
      </c>
      <c r="J56">
        <f t="shared" si="3"/>
        <v>8.8394230769230777</v>
      </c>
    </row>
    <row r="57" spans="1:10" x14ac:dyDescent="0.3">
      <c r="A57" t="s">
        <v>37</v>
      </c>
      <c r="B57">
        <v>9.34</v>
      </c>
      <c r="C57">
        <v>52.64</v>
      </c>
      <c r="D57" s="2">
        <v>2.1899999999999999E-2</v>
      </c>
      <c r="E57" s="13">
        <f t="shared" si="0"/>
        <v>2.1645866774692508E-2</v>
      </c>
      <c r="F57">
        <f t="shared" si="1"/>
        <v>1.3429704110834479E-3</v>
      </c>
      <c r="G57">
        <f t="shared" si="2"/>
        <v>1.1831996616081197E-2</v>
      </c>
      <c r="H57">
        <f t="shared" si="4"/>
        <v>1.6408027111691219E-3</v>
      </c>
      <c r="I57">
        <f t="shared" si="5"/>
        <v>1.3416242943149578E-3</v>
      </c>
      <c r="J57">
        <f t="shared" si="3"/>
        <v>8.8515384615384605</v>
      </c>
    </row>
    <row r="58" spans="1:10" x14ac:dyDescent="0.3">
      <c r="A58" s="1">
        <v>45384</v>
      </c>
      <c r="B58">
        <v>9.26</v>
      </c>
      <c r="C58">
        <v>38.78</v>
      </c>
      <c r="D58" s="2">
        <v>-8.6E-3</v>
      </c>
      <c r="E58" s="13">
        <f t="shared" si="0"/>
        <v>-8.6022035826631912E-3</v>
      </c>
      <c r="F58">
        <f t="shared" si="1"/>
        <v>1.0894297747800876E-3</v>
      </c>
      <c r="G58">
        <f t="shared" si="2"/>
        <v>1.1902278897757768E-2</v>
      </c>
      <c r="H58">
        <f t="shared" si="4"/>
        <v>1.6505491100284094E-3</v>
      </c>
      <c r="I58">
        <f t="shared" si="5"/>
        <v>1.0880676185977798E-3</v>
      </c>
      <c r="J58">
        <f t="shared" si="3"/>
        <v>8.8613461538461546</v>
      </c>
    </row>
    <row r="59" spans="1:10" x14ac:dyDescent="0.3">
      <c r="A59" s="1">
        <v>45598</v>
      </c>
      <c r="B59">
        <v>9.43</v>
      </c>
      <c r="C59">
        <v>42.06</v>
      </c>
      <c r="D59" s="2">
        <v>1.84E-2</v>
      </c>
      <c r="E59" s="13">
        <f t="shared" si="0"/>
        <v>1.8192047987278054E-2</v>
      </c>
      <c r="F59">
        <f t="shared" si="1"/>
        <v>1.4392768514585115E-3</v>
      </c>
      <c r="G59">
        <f t="shared" si="2"/>
        <v>1.2134721410022394E-2</v>
      </c>
      <c r="H59">
        <f t="shared" si="4"/>
        <v>1.6827830868194778E-3</v>
      </c>
      <c r="I59">
        <f t="shared" si="5"/>
        <v>1.4378609719998686E-3</v>
      </c>
      <c r="J59">
        <f t="shared" si="3"/>
        <v>8.8744230769230779</v>
      </c>
    </row>
    <row r="60" spans="1:10" x14ac:dyDescent="0.3">
      <c r="A60" t="s">
        <v>38</v>
      </c>
      <c r="B60">
        <v>9.5299999999999994</v>
      </c>
      <c r="C60">
        <v>47.22</v>
      </c>
      <c r="D60" s="2">
        <v>1.06E-2</v>
      </c>
      <c r="E60" s="13">
        <f t="shared" si="0"/>
        <v>1.0548621020744541E-2</v>
      </c>
      <c r="F60">
        <f t="shared" si="1"/>
        <v>1.6641255384358862E-3</v>
      </c>
      <c r="G60">
        <f t="shared" si="2"/>
        <v>1.2194104206882354E-2</v>
      </c>
      <c r="H60">
        <f t="shared" si="4"/>
        <v>1.6910179990871335E-3</v>
      </c>
      <c r="I60">
        <f t="shared" si="5"/>
        <v>1.6626957674992678E-3</v>
      </c>
      <c r="J60">
        <f t="shared" si="3"/>
        <v>8.889615384615384</v>
      </c>
    </row>
    <row r="61" spans="1:10" x14ac:dyDescent="0.3">
      <c r="A61" t="s">
        <v>39</v>
      </c>
      <c r="B61">
        <v>9.4499999999999993</v>
      </c>
      <c r="C61">
        <v>77.44</v>
      </c>
      <c r="D61" s="2">
        <v>-8.3999999999999995E-3</v>
      </c>
      <c r="E61" s="13">
        <f t="shared" si="0"/>
        <v>-8.4299761604593754E-3</v>
      </c>
      <c r="F61">
        <f t="shared" si="1"/>
        <v>1.5681336661776788E-3</v>
      </c>
      <c r="G61">
        <f t="shared" si="2"/>
        <v>1.2254555800639144E-2</v>
      </c>
      <c r="H61">
        <f t="shared" si="4"/>
        <v>1.6994011268168883E-3</v>
      </c>
      <c r="I61">
        <f t="shared" si="5"/>
        <v>1.5666896840827655E-3</v>
      </c>
      <c r="J61">
        <f t="shared" si="3"/>
        <v>8.9038461538461515</v>
      </c>
    </row>
    <row r="62" spans="1:10" x14ac:dyDescent="0.3">
      <c r="A62" s="1">
        <v>45354</v>
      </c>
      <c r="B62">
        <v>9.75</v>
      </c>
      <c r="C62">
        <v>77.48</v>
      </c>
      <c r="D62" s="2">
        <v>3.1699999999999999E-2</v>
      </c>
      <c r="E62" s="13">
        <f t="shared" si="0"/>
        <v>3.125254350410453E-2</v>
      </c>
      <c r="F62">
        <f t="shared" si="1"/>
        <v>2.1912357567157202E-3</v>
      </c>
      <c r="G62">
        <f t="shared" si="2"/>
        <v>1.291941414639051E-2</v>
      </c>
      <c r="H62">
        <f t="shared" si="4"/>
        <v>1.7916003905294542E-3</v>
      </c>
      <c r="I62">
        <f t="shared" si="5"/>
        <v>2.1896308407360473E-3</v>
      </c>
      <c r="J62">
        <f t="shared" si="3"/>
        <v>8.9240384615384603</v>
      </c>
    </row>
    <row r="63" spans="1:10" x14ac:dyDescent="0.3">
      <c r="A63" s="1">
        <v>45568</v>
      </c>
      <c r="B63">
        <v>9.7100000000000009</v>
      </c>
      <c r="C63">
        <v>88.48</v>
      </c>
      <c r="D63" s="2">
        <v>-4.1000000000000003E-3</v>
      </c>
      <c r="E63" s="13">
        <f t="shared" si="0"/>
        <v>-4.1110027065222061E-3</v>
      </c>
      <c r="F63">
        <f t="shared" si="1"/>
        <v>2.8328532271007954E-3</v>
      </c>
      <c r="G63">
        <f t="shared" si="2"/>
        <v>1.167985234657116E-2</v>
      </c>
      <c r="H63">
        <f t="shared" si="4"/>
        <v>1.6197040971311814E-3</v>
      </c>
      <c r="I63">
        <f t="shared" si="5"/>
        <v>2.8315415064196635E-3</v>
      </c>
      <c r="J63">
        <f t="shared" si="3"/>
        <v>8.9496153846153828</v>
      </c>
    </row>
    <row r="64" spans="1:10" x14ac:dyDescent="0.3">
      <c r="A64" t="s">
        <v>40</v>
      </c>
      <c r="B64">
        <v>9.59</v>
      </c>
      <c r="C64">
        <v>58.41</v>
      </c>
      <c r="D64" s="2">
        <v>-1.24E-2</v>
      </c>
      <c r="E64" s="13">
        <f t="shared" si="0"/>
        <v>-1.2435393407886759E-2</v>
      </c>
      <c r="F64">
        <f t="shared" si="1"/>
        <v>2.4793099400304292E-3</v>
      </c>
      <c r="G64">
        <f t="shared" si="2"/>
        <v>1.186052666950042E-2</v>
      </c>
      <c r="H64">
        <f t="shared" si="4"/>
        <v>1.6447591177266116E-3</v>
      </c>
      <c r="I64">
        <f t="shared" si="5"/>
        <v>2.4779573237527566E-3</v>
      </c>
      <c r="J64">
        <f t="shared" si="3"/>
        <v>8.9719230769230744</v>
      </c>
    </row>
    <row r="65" spans="1:10" x14ac:dyDescent="0.3">
      <c r="A65" t="s">
        <v>41</v>
      </c>
      <c r="B65">
        <v>9.69</v>
      </c>
      <c r="C65">
        <v>46.7</v>
      </c>
      <c r="D65" s="2">
        <v>1.04E-2</v>
      </c>
      <c r="E65" s="13">
        <f t="shared" si="0"/>
        <v>1.0373537007327998E-2</v>
      </c>
      <c r="F65">
        <f t="shared" si="1"/>
        <v>2.3620517940958824E-3</v>
      </c>
      <c r="G65">
        <f t="shared" si="2"/>
        <v>1.1749104510810193E-2</v>
      </c>
      <c r="H65">
        <f t="shared" si="4"/>
        <v>1.6293076444042847E-3</v>
      </c>
      <c r="I65">
        <f t="shared" si="5"/>
        <v>2.3607244723958254E-3</v>
      </c>
      <c r="J65">
        <f t="shared" si="3"/>
        <v>8.9934615384615348</v>
      </c>
    </row>
    <row r="66" spans="1:10" x14ac:dyDescent="0.3">
      <c r="A66" t="s">
        <v>42</v>
      </c>
      <c r="B66">
        <v>9.64</v>
      </c>
      <c r="C66">
        <v>50.46</v>
      </c>
      <c r="D66" s="2">
        <v>-5.1999999999999998E-3</v>
      </c>
      <c r="E66" s="13">
        <f t="shared" si="0"/>
        <v>-5.1733172802205284E-3</v>
      </c>
      <c r="F66">
        <f t="shared" si="1"/>
        <v>2.0616612701559608E-3</v>
      </c>
      <c r="G66">
        <f t="shared" si="2"/>
        <v>1.1738020732619748E-2</v>
      </c>
      <c r="H66">
        <f t="shared" si="4"/>
        <v>1.6277706009199956E-3</v>
      </c>
      <c r="I66">
        <f t="shared" si="5"/>
        <v>2.060336451591351E-3</v>
      </c>
      <c r="J66">
        <f t="shared" si="3"/>
        <v>9.0123076923076884</v>
      </c>
    </row>
    <row r="67" spans="1:10" x14ac:dyDescent="0.3">
      <c r="A67" s="1">
        <v>45477</v>
      </c>
      <c r="B67">
        <v>9.65</v>
      </c>
      <c r="C67">
        <v>30.51</v>
      </c>
      <c r="D67" s="2">
        <v>1E-3</v>
      </c>
      <c r="E67" s="13">
        <f t="shared" si="0"/>
        <v>1.0368067284403084E-3</v>
      </c>
      <c r="F67">
        <f t="shared" si="1"/>
        <v>1.9708870093554333E-3</v>
      </c>
      <c r="G67">
        <f t="shared" si="2"/>
        <v>1.1727129165955145E-2</v>
      </c>
      <c r="H67">
        <f t="shared" si="4"/>
        <v>1.6262602123784816E-3</v>
      </c>
      <c r="I67">
        <f t="shared" si="5"/>
        <v>1.9695646482162507E-3</v>
      </c>
      <c r="J67">
        <f t="shared" si="3"/>
        <v>9.0303846153846123</v>
      </c>
    </row>
    <row r="68" spans="1:10" x14ac:dyDescent="0.3">
      <c r="A68" t="s">
        <v>43</v>
      </c>
      <c r="B68">
        <v>9.65</v>
      </c>
      <c r="C68">
        <v>53.05</v>
      </c>
      <c r="D68" s="2">
        <v>0</v>
      </c>
      <c r="E68" s="13">
        <f t="shared" ref="E68:E131" si="6">LN(B68/B67)</f>
        <v>0</v>
      </c>
      <c r="F68">
        <f t="shared" si="1"/>
        <v>1.9929786478914639E-3</v>
      </c>
      <c r="G68">
        <f t="shared" si="2"/>
        <v>1.1722218111214612E-2</v>
      </c>
      <c r="H68">
        <f t="shared" si="4"/>
        <v>1.62557917162142E-3</v>
      </c>
      <c r="I68">
        <f t="shared" si="5"/>
        <v>1.9916573940698592E-3</v>
      </c>
      <c r="J68">
        <f t="shared" si="3"/>
        <v>9.0486538461538419</v>
      </c>
    </row>
    <row r="69" spans="1:10" x14ac:dyDescent="0.3">
      <c r="A69" t="s">
        <v>44</v>
      </c>
      <c r="B69">
        <v>9.7899999999999991</v>
      </c>
      <c r="C69">
        <v>82.14</v>
      </c>
      <c r="D69" s="2">
        <v>1.4500000000000001E-2</v>
      </c>
      <c r="E69" s="13">
        <f t="shared" si="6"/>
        <v>1.4403541191524243E-2</v>
      </c>
      <c r="F69">
        <f t="shared" si="1"/>
        <v>2.3585910378475863E-3</v>
      </c>
      <c r="G69">
        <f t="shared" si="2"/>
        <v>1.1808458621736221E-2</v>
      </c>
      <c r="H69">
        <f t="shared" si="4"/>
        <v>1.6375385786486451E-3</v>
      </c>
      <c r="I69">
        <f t="shared" si="5"/>
        <v>2.3572502715493051E-3</v>
      </c>
      <c r="J69">
        <f t="shared" si="3"/>
        <v>9.0703846153846115</v>
      </c>
    </row>
    <row r="70" spans="1:10" x14ac:dyDescent="0.3">
      <c r="A70" t="s">
        <v>45</v>
      </c>
      <c r="B70">
        <v>9.8000000000000007</v>
      </c>
      <c r="C70">
        <v>55.24</v>
      </c>
      <c r="D70" s="2">
        <v>1E-3</v>
      </c>
      <c r="E70" s="13">
        <f t="shared" si="6"/>
        <v>1.0209291341073648E-3</v>
      </c>
      <c r="F70">
        <f t="shared" si="1"/>
        <v>2.1793977943654337E-3</v>
      </c>
      <c r="G70">
        <f t="shared" si="2"/>
        <v>1.1755563956992251E-2</v>
      </c>
      <c r="H70">
        <f t="shared" si="4"/>
        <v>1.6302034084204583E-3</v>
      </c>
      <c r="I70">
        <f t="shared" si="5"/>
        <v>2.1780690127890211E-3</v>
      </c>
      <c r="J70">
        <f t="shared" si="3"/>
        <v>9.0905769230769202</v>
      </c>
    </row>
    <row r="71" spans="1:10" x14ac:dyDescent="0.3">
      <c r="A71" s="1">
        <v>45417</v>
      </c>
      <c r="B71">
        <v>9.8699999999999992</v>
      </c>
      <c r="C71">
        <v>41.62</v>
      </c>
      <c r="D71" s="2">
        <v>7.1000000000000004E-3</v>
      </c>
      <c r="E71" s="13">
        <f t="shared" si="6"/>
        <v>7.1174677688637337E-3</v>
      </c>
      <c r="F71">
        <f t="shared" si="1"/>
        <v>2.4485945032324753E-3</v>
      </c>
      <c r="G71">
        <f t="shared" si="2"/>
        <v>1.1704186665192486E-2</v>
      </c>
      <c r="H71">
        <f t="shared" si="4"/>
        <v>1.6230786599597457E-3</v>
      </c>
      <c r="I71">
        <f t="shared" si="5"/>
        <v>2.4472773110642671E-3</v>
      </c>
      <c r="J71">
        <f t="shared" si="3"/>
        <v>9.1132692307692267</v>
      </c>
    </row>
    <row r="72" spans="1:10" x14ac:dyDescent="0.3">
      <c r="A72" s="1">
        <v>45631</v>
      </c>
      <c r="B72">
        <v>9.92</v>
      </c>
      <c r="C72">
        <v>47.12</v>
      </c>
      <c r="D72" s="2">
        <v>5.1000000000000004E-3</v>
      </c>
      <c r="E72" s="13">
        <f t="shared" si="6"/>
        <v>5.0530678513912011E-3</v>
      </c>
      <c r="F72">
        <f t="shared" si="1"/>
        <v>2.3476252624952954E-3</v>
      </c>
      <c r="G72">
        <f t="shared" si="2"/>
        <v>1.1657650327596473E-2</v>
      </c>
      <c r="H72">
        <f t="shared" si="4"/>
        <v>1.6166252310607177E-3</v>
      </c>
      <c r="I72">
        <f t="shared" si="5"/>
        <v>2.3463185239264443E-3</v>
      </c>
      <c r="J72">
        <f t="shared" si="3"/>
        <v>9.1351923076923036</v>
      </c>
    </row>
    <row r="73" spans="1:10" x14ac:dyDescent="0.3">
      <c r="A73" t="s">
        <v>46</v>
      </c>
      <c r="B73">
        <v>9.98</v>
      </c>
      <c r="C73">
        <v>44.03</v>
      </c>
      <c r="D73" s="2">
        <v>6.0000000000000001E-3</v>
      </c>
      <c r="E73" s="13">
        <f t="shared" si="6"/>
        <v>6.0301690265912311E-3</v>
      </c>
      <c r="F73">
        <f t="shared" si="1"/>
        <v>2.9067149389134773E-3</v>
      </c>
      <c r="G73">
        <f t="shared" si="2"/>
        <v>1.1099894106788492E-2</v>
      </c>
      <c r="H73">
        <f t="shared" si="4"/>
        <v>1.5392783597787103E-3</v>
      </c>
      <c r="I73">
        <f t="shared" si="5"/>
        <v>2.9055302499790357E-3</v>
      </c>
      <c r="J73">
        <f t="shared" si="3"/>
        <v>9.1621153846153813</v>
      </c>
    </row>
    <row r="74" spans="1:10" x14ac:dyDescent="0.3">
      <c r="A74" t="s">
        <v>47</v>
      </c>
      <c r="B74">
        <v>9.93</v>
      </c>
      <c r="C74">
        <v>100.99</v>
      </c>
      <c r="D74" s="2">
        <v>-5.0000000000000001E-3</v>
      </c>
      <c r="E74" s="13">
        <f t="shared" si="6"/>
        <v>-5.022612266291443E-3</v>
      </c>
      <c r="F74">
        <f t="shared" si="1"/>
        <v>2.8101262414847957E-3</v>
      </c>
      <c r="G74">
        <f t="shared" si="2"/>
        <v>1.1147434611140599E-2</v>
      </c>
      <c r="H74">
        <f t="shared" si="4"/>
        <v>1.5458710415519005E-3</v>
      </c>
      <c r="I74">
        <f t="shared" si="5"/>
        <v>2.8089313828462414E-3</v>
      </c>
      <c r="J74">
        <f t="shared" si="3"/>
        <v>9.1880769230769204</v>
      </c>
    </row>
    <row r="75" spans="1:10" x14ac:dyDescent="0.3">
      <c r="A75" s="1">
        <v>45328</v>
      </c>
      <c r="B75">
        <v>10</v>
      </c>
      <c r="C75">
        <v>53.91</v>
      </c>
      <c r="D75" s="2">
        <v>7.0000000000000001E-3</v>
      </c>
      <c r="E75" s="13">
        <f t="shared" si="6"/>
        <v>7.0246149369644385E-3</v>
      </c>
      <c r="F75">
        <f t="shared" si="1"/>
        <v>2.8557693907392914E-3</v>
      </c>
      <c r="G75">
        <f t="shared" si="2"/>
        <v>1.1159972552463782E-2</v>
      </c>
      <c r="H75">
        <f t="shared" si="4"/>
        <v>1.5476097411799578E-3</v>
      </c>
      <c r="I75">
        <f t="shared" si="5"/>
        <v>2.8545718427837939E-3</v>
      </c>
      <c r="J75">
        <f t="shared" si="3"/>
        <v>9.2146153846153815</v>
      </c>
    </row>
    <row r="76" spans="1:10" x14ac:dyDescent="0.3">
      <c r="A76" s="1">
        <v>45541</v>
      </c>
      <c r="B76">
        <v>9.94</v>
      </c>
      <c r="C76">
        <v>30.94</v>
      </c>
      <c r="D76" s="2">
        <v>-6.0000000000000001E-3</v>
      </c>
      <c r="E76" s="13">
        <f t="shared" si="6"/>
        <v>-6.0180723255630212E-3</v>
      </c>
      <c r="F76">
        <f t="shared" si="1"/>
        <v>2.8519093857460255E-3</v>
      </c>
      <c r="G76">
        <f t="shared" si="2"/>
        <v>1.1163065511382186E-2</v>
      </c>
      <c r="H76">
        <f t="shared" si="4"/>
        <v>1.5480386574096966E-3</v>
      </c>
      <c r="I76">
        <f t="shared" si="5"/>
        <v>2.8507111739036082E-3</v>
      </c>
      <c r="J76">
        <f t="shared" si="3"/>
        <v>9.2409615384615353</v>
      </c>
    </row>
    <row r="77" spans="1:10" x14ac:dyDescent="0.3">
      <c r="A77" t="s">
        <v>48</v>
      </c>
      <c r="B77">
        <v>9.86</v>
      </c>
      <c r="C77">
        <v>55.4</v>
      </c>
      <c r="D77" s="2">
        <v>-8.0000000000000002E-3</v>
      </c>
      <c r="E77" s="13">
        <f t="shared" si="6"/>
        <v>-8.0808520539386725E-3</v>
      </c>
      <c r="F77">
        <f t="shared" si="1"/>
        <v>2.3187688259057515E-3</v>
      </c>
      <c r="G77">
        <f t="shared" si="2"/>
        <v>1.1006359991344514E-2</v>
      </c>
      <c r="H77">
        <f t="shared" si="4"/>
        <v>1.5263075117310783E-3</v>
      </c>
      <c r="I77">
        <f t="shared" si="5"/>
        <v>2.3176040185955682E-3</v>
      </c>
      <c r="J77">
        <f t="shared" si="3"/>
        <v>9.2624999999999975</v>
      </c>
    </row>
    <row r="78" spans="1:10" x14ac:dyDescent="0.3">
      <c r="A78" t="s">
        <v>49</v>
      </c>
      <c r="B78">
        <v>9.9600000000000009</v>
      </c>
      <c r="C78">
        <v>58.21</v>
      </c>
      <c r="D78" s="2">
        <v>1.01E-2</v>
      </c>
      <c r="E78" s="13">
        <f t="shared" si="6"/>
        <v>1.009090298196294E-2</v>
      </c>
      <c r="F78">
        <f t="shared" si="1"/>
        <v>2.7563955096378745E-3</v>
      </c>
      <c r="G78">
        <f t="shared" si="2"/>
        <v>1.0850184157622742E-2</v>
      </c>
      <c r="H78">
        <f t="shared" si="4"/>
        <v>1.5046498203283019E-3</v>
      </c>
      <c r="I78">
        <f t="shared" si="5"/>
        <v>2.7552635240969676E-3</v>
      </c>
      <c r="J78">
        <f t="shared" si="3"/>
        <v>9.28807692307692</v>
      </c>
    </row>
    <row r="79" spans="1:10" x14ac:dyDescent="0.3">
      <c r="A79" t="s">
        <v>50</v>
      </c>
      <c r="B79">
        <v>10.039999999999999</v>
      </c>
      <c r="C79">
        <v>31.49</v>
      </c>
      <c r="D79" s="2">
        <v>8.0000000000000002E-3</v>
      </c>
      <c r="E79" s="13">
        <f t="shared" si="6"/>
        <v>8.0000426670761501E-3</v>
      </c>
      <c r="F79">
        <f t="shared" si="1"/>
        <v>2.8213139129063809E-3</v>
      </c>
      <c r="G79">
        <f t="shared" si="2"/>
        <v>1.0871656783363231E-2</v>
      </c>
      <c r="H79">
        <f t="shared" si="4"/>
        <v>1.5076275377562318E-3</v>
      </c>
      <c r="I79">
        <f t="shared" si="5"/>
        <v>2.8201774425100803E-3</v>
      </c>
      <c r="J79">
        <f t="shared" si="3"/>
        <v>9.3144230769230756</v>
      </c>
    </row>
    <row r="80" spans="1:10" x14ac:dyDescent="0.3">
      <c r="A80" s="1">
        <v>45480</v>
      </c>
      <c r="B80">
        <v>10.039999999999999</v>
      </c>
      <c r="C80">
        <v>48.97</v>
      </c>
      <c r="D80" s="2">
        <v>0</v>
      </c>
      <c r="E80" s="13">
        <f t="shared" si="6"/>
        <v>0</v>
      </c>
      <c r="F80">
        <f t="shared" si="1"/>
        <v>2.535103707296565E-3</v>
      </c>
      <c r="G80">
        <f t="shared" si="2"/>
        <v>1.0743038373483157E-2</v>
      </c>
      <c r="H80">
        <f t="shared" si="4"/>
        <v>1.4897913734565685E-3</v>
      </c>
      <c r="I80">
        <f t="shared" si="5"/>
        <v>2.5339939681283522E-3</v>
      </c>
      <c r="J80">
        <f t="shared" si="3"/>
        <v>9.3382692307692299</v>
      </c>
    </row>
    <row r="81" spans="1:10" x14ac:dyDescent="0.3">
      <c r="A81" t="s">
        <v>51</v>
      </c>
      <c r="B81">
        <v>10.1</v>
      </c>
      <c r="C81">
        <v>55.09</v>
      </c>
      <c r="D81" s="2">
        <v>6.0000000000000001E-3</v>
      </c>
      <c r="E81" s="13">
        <f t="shared" si="6"/>
        <v>5.9583095836306249E-3</v>
      </c>
      <c r="F81">
        <f t="shared" si="1"/>
        <v>2.6934426192343772E-3</v>
      </c>
      <c r="G81">
        <f t="shared" si="2"/>
        <v>1.0731419023127379E-2</v>
      </c>
      <c r="H81">
        <f t="shared" si="4"/>
        <v>1.4881800594759786E-3</v>
      </c>
      <c r="I81">
        <f t="shared" si="5"/>
        <v>2.6923352792896662E-3</v>
      </c>
      <c r="J81">
        <f t="shared" si="3"/>
        <v>9.3636538461538468</v>
      </c>
    </row>
    <row r="82" spans="1:10" x14ac:dyDescent="0.3">
      <c r="A82" t="s">
        <v>52</v>
      </c>
      <c r="B82">
        <v>10.14</v>
      </c>
      <c r="C82">
        <v>32.11</v>
      </c>
      <c r="D82" s="2">
        <v>4.0000000000000001E-3</v>
      </c>
      <c r="E82" s="13">
        <f t="shared" si="6"/>
        <v>3.9525743158233418E-3</v>
      </c>
      <c r="F82">
        <f t="shared" si="1"/>
        <v>2.3149067246059081E-3</v>
      </c>
      <c r="G82">
        <f t="shared" si="2"/>
        <v>1.0317371848645736E-2</v>
      </c>
      <c r="H82">
        <f t="shared" si="4"/>
        <v>1.4307620472431113E-3</v>
      </c>
      <c r="I82">
        <f t="shared" si="5"/>
        <v>2.3138831845879925E-3</v>
      </c>
      <c r="J82">
        <f t="shared" si="3"/>
        <v>9.3857692307692293</v>
      </c>
    </row>
    <row r="83" spans="1:10" x14ac:dyDescent="0.3">
      <c r="A83" t="s">
        <v>53</v>
      </c>
      <c r="B83">
        <v>10.24</v>
      </c>
      <c r="C83">
        <v>57.71</v>
      </c>
      <c r="D83" s="2">
        <v>9.9000000000000008E-3</v>
      </c>
      <c r="E83" s="13">
        <f t="shared" si="6"/>
        <v>9.8136214483246706E-3</v>
      </c>
      <c r="F83">
        <f t="shared" si="1"/>
        <v>2.6755265024739024E-3</v>
      </c>
      <c r="G83">
        <f t="shared" si="2"/>
        <v>1.024377666827697E-2</v>
      </c>
      <c r="H83">
        <f t="shared" si="4"/>
        <v>1.4205562319951647E-3</v>
      </c>
      <c r="I83">
        <f t="shared" si="5"/>
        <v>2.6745175124697723E-3</v>
      </c>
      <c r="J83">
        <f t="shared" si="3"/>
        <v>9.4113461538461536</v>
      </c>
    </row>
    <row r="84" spans="1:10" x14ac:dyDescent="0.3">
      <c r="A84" s="1">
        <v>45390</v>
      </c>
      <c r="B84">
        <v>10.16</v>
      </c>
      <c r="C84">
        <v>85.6</v>
      </c>
      <c r="D84" s="2">
        <v>-7.7999999999999996E-3</v>
      </c>
      <c r="E84" s="13">
        <f t="shared" si="6"/>
        <v>-7.8431774610258926E-3</v>
      </c>
      <c r="F84">
        <f t="shared" si="1"/>
        <v>2.2887328476115932E-3</v>
      </c>
      <c r="G84">
        <f t="shared" si="2"/>
        <v>1.025411512926986E-2</v>
      </c>
      <c r="H84">
        <f t="shared" si="4"/>
        <v>1.4219899185805205E-3</v>
      </c>
      <c r="I84">
        <f t="shared" si="5"/>
        <v>2.2877218199473209E-3</v>
      </c>
      <c r="J84">
        <f t="shared" si="3"/>
        <v>9.4332692307692305</v>
      </c>
    </row>
    <row r="85" spans="1:10" x14ac:dyDescent="0.3">
      <c r="A85" s="1">
        <v>45604</v>
      </c>
      <c r="B85">
        <v>10.26</v>
      </c>
      <c r="C85">
        <v>48.33</v>
      </c>
      <c r="D85" s="2">
        <v>9.7999999999999997E-3</v>
      </c>
      <c r="E85" s="13">
        <f t="shared" si="6"/>
        <v>9.794397592287625E-3</v>
      </c>
      <c r="F85">
        <f t="shared" si="1"/>
        <v>2.5197742770462187E-3</v>
      </c>
      <c r="G85">
        <f t="shared" si="2"/>
        <v>1.0285839770327567E-2</v>
      </c>
      <c r="H85">
        <f t="shared" si="4"/>
        <v>1.4263893347354918E-3</v>
      </c>
      <c r="I85">
        <f t="shared" si="5"/>
        <v>2.5187569837790951E-3</v>
      </c>
      <c r="J85">
        <f t="shared" si="3"/>
        <v>9.4574999999999996</v>
      </c>
    </row>
    <row r="86" spans="1:10" x14ac:dyDescent="0.3">
      <c r="A86" t="s">
        <v>54</v>
      </c>
      <c r="B86">
        <v>10.44</v>
      </c>
      <c r="C86">
        <v>74.900000000000006</v>
      </c>
      <c r="D86" s="2">
        <v>1.7500000000000002E-2</v>
      </c>
      <c r="E86" s="13">
        <f t="shared" si="6"/>
        <v>1.7391742711869239E-2</v>
      </c>
      <c r="F86">
        <f t="shared" ref="F86:F117" si="7">AVERAGE(E35:E86)</f>
        <v>2.8115432380761496E-3</v>
      </c>
      <c r="G86">
        <f t="shared" ref="G86:G117" si="8">_xlfn.STDEV.S(E35:E86)</f>
        <v>1.0490315056150347E-2</v>
      </c>
      <c r="H86">
        <f t="shared" si="4"/>
        <v>1.4547449550277682E-3</v>
      </c>
      <c r="I86">
        <f t="shared" si="5"/>
        <v>2.8104850966340603E-3</v>
      </c>
      <c r="J86">
        <f t="shared" si="3"/>
        <v>9.4848076923076938</v>
      </c>
    </row>
    <row r="87" spans="1:10" x14ac:dyDescent="0.3">
      <c r="A87" t="s">
        <v>55</v>
      </c>
      <c r="B87">
        <v>10.78</v>
      </c>
      <c r="C87">
        <v>98.43</v>
      </c>
      <c r="D87" s="2">
        <v>3.2599999999999997E-2</v>
      </c>
      <c r="E87" s="13">
        <f t="shared" si="6"/>
        <v>3.2047983026358487E-2</v>
      </c>
      <c r="F87">
        <f t="shared" si="7"/>
        <v>3.1526670421811657E-3</v>
      </c>
      <c r="G87">
        <f t="shared" si="8"/>
        <v>1.1139838918412508E-2</v>
      </c>
      <c r="H87">
        <f t="shared" si="4"/>
        <v>1.5448177084902157E-3</v>
      </c>
      <c r="I87">
        <f t="shared" si="5"/>
        <v>3.1514738113049331E-3</v>
      </c>
      <c r="J87">
        <f t="shared" si="3"/>
        <v>9.5161538461538484</v>
      </c>
    </row>
    <row r="88" spans="1:10" x14ac:dyDescent="0.3">
      <c r="A88" s="1">
        <v>45300</v>
      </c>
      <c r="B88">
        <v>10.8</v>
      </c>
      <c r="C88">
        <v>75.19</v>
      </c>
      <c r="D88" s="2">
        <v>1.9E-3</v>
      </c>
      <c r="E88" s="13">
        <f t="shared" si="6"/>
        <v>1.8535686493230564E-3</v>
      </c>
      <c r="F88">
        <f t="shared" si="7"/>
        <v>3.2093413204637507E-3</v>
      </c>
      <c r="G88">
        <f t="shared" si="8"/>
        <v>1.1125300013098267E-2</v>
      </c>
      <c r="H88">
        <f t="shared" si="4"/>
        <v>1.5428015250825383E-3</v>
      </c>
      <c r="I88">
        <f t="shared" si="5"/>
        <v>3.2081512021908524E-3</v>
      </c>
      <c r="J88">
        <f t="shared" si="3"/>
        <v>9.5480769230769234</v>
      </c>
    </row>
    <row r="89" spans="1:10" x14ac:dyDescent="0.3">
      <c r="A89" s="1">
        <v>45513</v>
      </c>
      <c r="B89">
        <v>10.64</v>
      </c>
      <c r="C89">
        <v>125.59</v>
      </c>
      <c r="D89" s="2">
        <v>-1.4800000000000001E-2</v>
      </c>
      <c r="E89" s="13">
        <f t="shared" si="6"/>
        <v>-1.4925650216675706E-2</v>
      </c>
      <c r="F89">
        <f t="shared" si="7"/>
        <v>3.4124277390534643E-3</v>
      </c>
      <c r="G89">
        <f t="shared" si="8"/>
        <v>1.0678629628454761E-2</v>
      </c>
      <c r="H89">
        <f t="shared" si="4"/>
        <v>1.4808594875801004E-3</v>
      </c>
      <c r="I89">
        <f t="shared" si="5"/>
        <v>3.4113312666424864E-3</v>
      </c>
      <c r="J89">
        <f t="shared" si="3"/>
        <v>9.5813461538461553</v>
      </c>
    </row>
    <row r="90" spans="1:10" x14ac:dyDescent="0.3">
      <c r="A90" t="s">
        <v>56</v>
      </c>
      <c r="B90">
        <v>10.6</v>
      </c>
      <c r="C90">
        <v>70.03</v>
      </c>
      <c r="D90" s="2">
        <v>-3.8E-3</v>
      </c>
      <c r="E90" s="13">
        <f t="shared" si="6"/>
        <v>-3.7664827954770048E-3</v>
      </c>
      <c r="F90">
        <f t="shared" si="7"/>
        <v>3.4048546944988886E-3</v>
      </c>
      <c r="G90">
        <f t="shared" si="8"/>
        <v>1.0683674272707774E-2</v>
      </c>
      <c r="H90">
        <f t="shared" si="4"/>
        <v>1.4815590538693585E-3</v>
      </c>
      <c r="I90">
        <f t="shared" si="5"/>
        <v>3.4037571858838377E-3</v>
      </c>
      <c r="J90">
        <f t="shared" si="3"/>
        <v>9.6144230769230781</v>
      </c>
    </row>
    <row r="91" spans="1:10" x14ac:dyDescent="0.3">
      <c r="A91" t="s">
        <v>57</v>
      </c>
      <c r="B91">
        <v>10.5</v>
      </c>
      <c r="C91">
        <v>40.9</v>
      </c>
      <c r="D91" s="2">
        <v>-9.4000000000000004E-3</v>
      </c>
      <c r="E91" s="13">
        <f t="shared" si="6"/>
        <v>-9.47874395454377E-3</v>
      </c>
      <c r="F91">
        <f t="shared" si="7"/>
        <v>3.418472028199841E-3</v>
      </c>
      <c r="G91">
        <f t="shared" si="8"/>
        <v>1.0666448089363923E-2</v>
      </c>
      <c r="H91">
        <f t="shared" si="4"/>
        <v>1.4791702120490972E-3</v>
      </c>
      <c r="I91">
        <f t="shared" si="5"/>
        <v>3.4173780559417343E-3</v>
      </c>
      <c r="J91">
        <f t="shared" si="3"/>
        <v>9.6473076923076935</v>
      </c>
    </row>
    <row r="92" spans="1:10" x14ac:dyDescent="0.3">
      <c r="A92" t="s">
        <v>58</v>
      </c>
      <c r="B92">
        <v>10.5</v>
      </c>
      <c r="C92">
        <v>51.89</v>
      </c>
      <c r="D92" s="2">
        <v>0</v>
      </c>
      <c r="E92" s="13">
        <f t="shared" si="6"/>
        <v>0</v>
      </c>
      <c r="F92">
        <f t="shared" si="7"/>
        <v>3.4622778996035702E-3</v>
      </c>
      <c r="G92">
        <f t="shared" si="8"/>
        <v>1.0647255291687708E-2</v>
      </c>
      <c r="H92">
        <f t="shared" si="4"/>
        <v>1.4765086498898202E-3</v>
      </c>
      <c r="I92">
        <f t="shared" si="5"/>
        <v>3.4611878607069707E-3</v>
      </c>
      <c r="J92">
        <f t="shared" si="3"/>
        <v>9.6805769230769254</v>
      </c>
    </row>
    <row r="93" spans="1:10" x14ac:dyDescent="0.3">
      <c r="A93" s="1">
        <v>45453</v>
      </c>
      <c r="B93">
        <v>10.56</v>
      </c>
      <c r="C93">
        <v>33.85</v>
      </c>
      <c r="D93" s="2">
        <v>5.7000000000000002E-3</v>
      </c>
      <c r="E93" s="13">
        <f t="shared" si="6"/>
        <v>5.6980211146377959E-3</v>
      </c>
      <c r="F93">
        <f t="shared" si="7"/>
        <v>3.1167960762308977E-3</v>
      </c>
      <c r="G93">
        <f t="shared" si="8"/>
        <v>1.0263476090361365E-2</v>
      </c>
      <c r="H93">
        <f t="shared" si="4"/>
        <v>1.4232880503190991E-3</v>
      </c>
      <c r="I93">
        <f t="shared" si="5"/>
        <v>3.1157832017938069E-3</v>
      </c>
      <c r="J93">
        <f t="shared" si="3"/>
        <v>9.7109615384615413</v>
      </c>
    </row>
    <row r="94" spans="1:10" x14ac:dyDescent="0.3">
      <c r="A94" t="s">
        <v>59</v>
      </c>
      <c r="B94">
        <v>10.66</v>
      </c>
      <c r="C94">
        <v>34.44</v>
      </c>
      <c r="D94" s="2">
        <v>9.4999999999999998E-3</v>
      </c>
      <c r="E94" s="13">
        <f t="shared" si="6"/>
        <v>9.4251404595831131E-3</v>
      </c>
      <c r="F94">
        <f t="shared" si="7"/>
        <v>3.2766455818109457E-3</v>
      </c>
      <c r="G94">
        <f t="shared" si="8"/>
        <v>1.0296332101479056E-2</v>
      </c>
      <c r="H94">
        <f t="shared" si="4"/>
        <v>1.4278443592726396E-3</v>
      </c>
      <c r="I94">
        <f t="shared" si="5"/>
        <v>3.2756262120537923E-3</v>
      </c>
      <c r="J94">
        <f t="shared" si="3"/>
        <v>9.7430769230769254</v>
      </c>
    </row>
    <row r="95" spans="1:10" x14ac:dyDescent="0.3">
      <c r="A95" t="s">
        <v>60</v>
      </c>
      <c r="B95">
        <v>10.54</v>
      </c>
      <c r="C95">
        <v>34.58</v>
      </c>
      <c r="D95" s="2">
        <v>-1.1299999999999999E-2</v>
      </c>
      <c r="E95" s="13">
        <f t="shared" si="6"/>
        <v>-1.1320875624482311E-2</v>
      </c>
      <c r="F95">
        <f t="shared" si="7"/>
        <v>3.0375570341730088E-3</v>
      </c>
      <c r="G95">
        <f t="shared" si="8"/>
        <v>1.0490112487030023E-2</v>
      </c>
      <c r="H95">
        <f t="shared" si="4"/>
        <v>1.45471686374507E-3</v>
      </c>
      <c r="I95">
        <f t="shared" si="5"/>
        <v>3.0364989335961768E-3</v>
      </c>
      <c r="J95">
        <f t="shared" si="3"/>
        <v>9.77269230769231</v>
      </c>
    </row>
    <row r="96" spans="1:10" x14ac:dyDescent="0.3">
      <c r="A96" t="s">
        <v>61</v>
      </c>
      <c r="B96">
        <v>10.4</v>
      </c>
      <c r="C96">
        <v>64.099999999999994</v>
      </c>
      <c r="D96" s="2">
        <v>-1.3299999999999999E-2</v>
      </c>
      <c r="E96" s="13">
        <f t="shared" si="6"/>
        <v>-1.3371736965889195E-2</v>
      </c>
      <c r="F96">
        <f t="shared" si="7"/>
        <v>2.6951275335238786E-3</v>
      </c>
      <c r="G96">
        <f t="shared" si="8"/>
        <v>1.0731464872843592E-2</v>
      </c>
      <c r="H96">
        <f t="shared" si="4"/>
        <v>1.4881864176876235E-3</v>
      </c>
      <c r="I96">
        <f t="shared" si="5"/>
        <v>2.6940201841169835E-3</v>
      </c>
      <c r="J96">
        <f t="shared" si="3"/>
        <v>9.7988461538461564</v>
      </c>
    </row>
    <row r="97" spans="1:10" x14ac:dyDescent="0.3">
      <c r="A97" s="1">
        <v>45362</v>
      </c>
      <c r="B97">
        <v>10.5</v>
      </c>
      <c r="C97">
        <v>39.520000000000003</v>
      </c>
      <c r="D97" s="2">
        <v>9.5999999999999992E-3</v>
      </c>
      <c r="E97" s="13">
        <f t="shared" si="6"/>
        <v>9.5694510161506725E-3</v>
      </c>
      <c r="F97">
        <f t="shared" si="7"/>
        <v>2.7942512413514503E-3</v>
      </c>
      <c r="G97">
        <f t="shared" si="8"/>
        <v>1.0771393329398464E-2</v>
      </c>
      <c r="H97">
        <f t="shared" si="4"/>
        <v>1.4937234983591131E-3</v>
      </c>
      <c r="I97">
        <f t="shared" si="5"/>
        <v>2.7931356364066752E-3</v>
      </c>
      <c r="J97">
        <f t="shared" si="3"/>
        <v>9.8261538461538489</v>
      </c>
    </row>
    <row r="98" spans="1:10" x14ac:dyDescent="0.3">
      <c r="A98" s="1">
        <v>45576</v>
      </c>
      <c r="B98">
        <v>10.36</v>
      </c>
      <c r="C98">
        <v>42.72</v>
      </c>
      <c r="D98" s="2">
        <v>-1.3299999999999999E-2</v>
      </c>
      <c r="E98" s="13">
        <f t="shared" si="6"/>
        <v>-1.3423020332140774E-2</v>
      </c>
      <c r="F98">
        <f t="shared" si="7"/>
        <v>2.4515852450980144E-3</v>
      </c>
      <c r="G98">
        <f t="shared" si="8"/>
        <v>1.1000444135921907E-2</v>
      </c>
      <c r="H98">
        <f t="shared" si="4"/>
        <v>1.5254871301901383E-3</v>
      </c>
      <c r="I98">
        <f t="shared" si="5"/>
        <v>2.4504216896058264E-3</v>
      </c>
      <c r="J98">
        <f t="shared" si="3"/>
        <v>9.8500000000000014</v>
      </c>
    </row>
    <row r="99" spans="1:10" x14ac:dyDescent="0.3">
      <c r="A99" t="s">
        <v>62</v>
      </c>
      <c r="B99">
        <v>10.199999999999999</v>
      </c>
      <c r="C99">
        <v>62.09</v>
      </c>
      <c r="D99" s="2">
        <v>-1.54E-2</v>
      </c>
      <c r="E99" s="13">
        <f t="shared" si="6"/>
        <v>-1.5564516541111573E-2</v>
      </c>
      <c r="F99">
        <f t="shared" si="7"/>
        <v>2.2156310019391871E-3</v>
      </c>
      <c r="G99">
        <f t="shared" si="8"/>
        <v>1.1254769045432914E-2</v>
      </c>
      <c r="H99">
        <f t="shared" si="4"/>
        <v>1.5607556494928181E-3</v>
      </c>
      <c r="I99">
        <f t="shared" si="5"/>
        <v>2.2144130228404753E-3</v>
      </c>
      <c r="J99">
        <f t="shared" si="3"/>
        <v>9.871346153846158</v>
      </c>
    </row>
    <row r="100" spans="1:10" x14ac:dyDescent="0.3">
      <c r="A100" t="s">
        <v>63</v>
      </c>
      <c r="B100">
        <v>10.199999999999999</v>
      </c>
      <c r="C100">
        <v>83.72</v>
      </c>
      <c r="D100" s="2">
        <v>0</v>
      </c>
      <c r="E100" s="13">
        <f t="shared" si="6"/>
        <v>0</v>
      </c>
      <c r="F100">
        <f t="shared" si="7"/>
        <v>2.4069835183462658E-3</v>
      </c>
      <c r="G100">
        <f t="shared" si="8"/>
        <v>1.1127739153069695E-2</v>
      </c>
      <c r="H100">
        <f t="shared" si="4"/>
        <v>1.5431397729377312E-3</v>
      </c>
      <c r="I100">
        <f t="shared" si="5"/>
        <v>2.4057928781668547E-3</v>
      </c>
      <c r="J100">
        <f t="shared" si="3"/>
        <v>9.8944230769230792</v>
      </c>
    </row>
    <row r="101" spans="1:10" x14ac:dyDescent="0.3">
      <c r="A101" s="1">
        <v>45303</v>
      </c>
      <c r="B101">
        <v>10.16</v>
      </c>
      <c r="C101">
        <v>52.64</v>
      </c>
      <c r="D101" s="2">
        <v>-3.8999999999999998E-3</v>
      </c>
      <c r="E101" s="13">
        <f t="shared" si="6"/>
        <v>-3.9292781398894382E-3</v>
      </c>
      <c r="F101">
        <f t="shared" si="7"/>
        <v>2.2461397643509778E-3</v>
      </c>
      <c r="G101">
        <f t="shared" si="8"/>
        <v>1.1158261890798405E-2</v>
      </c>
      <c r="H101">
        <f t="shared" si="4"/>
        <v>1.5473725150895929E-3</v>
      </c>
      <c r="I101">
        <f t="shared" si="5"/>
        <v>2.2449425835007505E-3</v>
      </c>
      <c r="J101">
        <f t="shared" si="3"/>
        <v>9.9159615384615414</v>
      </c>
    </row>
    <row r="102" spans="1:10" x14ac:dyDescent="0.3">
      <c r="A102" s="1">
        <v>45516</v>
      </c>
      <c r="B102">
        <v>10.14</v>
      </c>
      <c r="C102">
        <v>48.92</v>
      </c>
      <c r="D102" s="2">
        <v>-2E-3</v>
      </c>
      <c r="E102" s="13">
        <f t="shared" si="6"/>
        <v>-1.9704439872987251E-3</v>
      </c>
      <c r="F102">
        <f t="shared" si="7"/>
        <v>2.2935273235926493E-3</v>
      </c>
      <c r="G102">
        <f t="shared" si="8"/>
        <v>1.1134540670698245E-2</v>
      </c>
      <c r="H102">
        <f t="shared" si="4"/>
        <v>1.5440829737285277E-3</v>
      </c>
      <c r="I102">
        <f t="shared" si="5"/>
        <v>2.2923352274777701E-3</v>
      </c>
      <c r="J102">
        <f t="shared" si="3"/>
        <v>9.9378846153846165</v>
      </c>
    </row>
    <row r="103" spans="1:10" x14ac:dyDescent="0.3">
      <c r="A103" t="s">
        <v>64</v>
      </c>
      <c r="B103">
        <v>9.9600000000000009</v>
      </c>
      <c r="C103">
        <v>61.91</v>
      </c>
      <c r="D103" s="2">
        <v>-1.78E-2</v>
      </c>
      <c r="E103" s="13">
        <f t="shared" si="6"/>
        <v>-1.7910926566530219E-2</v>
      </c>
      <c r="F103">
        <f t="shared" si="7"/>
        <v>2.1855773475133395E-3</v>
      </c>
      <c r="G103">
        <f t="shared" si="8"/>
        <v>1.1304686598956847E-2</v>
      </c>
      <c r="H103">
        <f t="shared" si="4"/>
        <v>1.5676779686765205E-3</v>
      </c>
      <c r="I103">
        <f t="shared" si="5"/>
        <v>2.1843485404066027E-3</v>
      </c>
      <c r="J103">
        <f t="shared" si="3"/>
        <v>9.9584615384615383</v>
      </c>
    </row>
    <row r="104" spans="1:10" x14ac:dyDescent="0.3">
      <c r="A104" t="s">
        <v>65</v>
      </c>
      <c r="B104">
        <v>10.1</v>
      </c>
      <c r="C104">
        <v>19.07</v>
      </c>
      <c r="D104" s="2">
        <v>1.41E-2</v>
      </c>
      <c r="E104" s="13">
        <f t="shared" si="6"/>
        <v>1.3958352250706855E-2</v>
      </c>
      <c r="F104">
        <f t="shared" si="7"/>
        <v>2.4540071984884716E-3</v>
      </c>
      <c r="G104">
        <f t="shared" si="8"/>
        <v>1.1416935765797062E-2</v>
      </c>
      <c r="H104">
        <f t="shared" si="4"/>
        <v>1.5832441273946169E-3</v>
      </c>
      <c r="I104">
        <f t="shared" si="5"/>
        <v>2.4527538675050069E-3</v>
      </c>
      <c r="J104">
        <f t="shared" si="3"/>
        <v>9.9817307692307704</v>
      </c>
    </row>
    <row r="105" spans="1:10" x14ac:dyDescent="0.3">
      <c r="A105" t="s">
        <v>66</v>
      </c>
      <c r="B105">
        <v>10.14</v>
      </c>
      <c r="C105">
        <v>23.57</v>
      </c>
      <c r="D105" s="2">
        <v>4.0000000000000001E-3</v>
      </c>
      <c r="E105" s="13">
        <f t="shared" si="6"/>
        <v>3.9525743158233418E-3</v>
      </c>
      <c r="F105">
        <f t="shared" si="7"/>
        <v>2.1657476559259416E-3</v>
      </c>
      <c r="G105">
        <f t="shared" si="8"/>
        <v>1.1179231568866318E-2</v>
      </c>
      <c r="H105">
        <f t="shared" si="4"/>
        <v>1.5502804862243557E-3</v>
      </c>
      <c r="I105">
        <f t="shared" si="5"/>
        <v>2.1645459711329574E-3</v>
      </c>
      <c r="J105">
        <f t="shared" si="3"/>
        <v>10.002500000000001</v>
      </c>
    </row>
    <row r="106" spans="1:10" x14ac:dyDescent="0.3">
      <c r="A106" s="1">
        <v>45778</v>
      </c>
      <c r="B106">
        <v>10.1</v>
      </c>
      <c r="C106">
        <v>40.5</v>
      </c>
      <c r="D106" s="2">
        <v>-3.8999999999999998E-3</v>
      </c>
      <c r="E106" s="13">
        <f t="shared" si="6"/>
        <v>-3.9525743158234693E-3</v>
      </c>
      <c r="F106">
        <f t="shared" si="7"/>
        <v>2.089736611390875E-3</v>
      </c>
      <c r="G106">
        <f t="shared" si="8"/>
        <v>1.1207647164819746E-2</v>
      </c>
      <c r="H106">
        <f t="shared" si="4"/>
        <v>1.5542210203871615E-3</v>
      </c>
      <c r="I106">
        <f t="shared" si="5"/>
        <v>2.0885288099007685E-3</v>
      </c>
      <c r="J106">
        <f t="shared" si="3"/>
        <v>10.022499999999999</v>
      </c>
    </row>
    <row r="107" spans="1:10" x14ac:dyDescent="0.3">
      <c r="A107" s="1">
        <v>45992</v>
      </c>
      <c r="B107">
        <v>10.14</v>
      </c>
      <c r="C107">
        <v>66.78</v>
      </c>
      <c r="D107" s="2">
        <v>4.0000000000000001E-3</v>
      </c>
      <c r="E107" s="13">
        <f t="shared" si="6"/>
        <v>3.9525743158233418E-3</v>
      </c>
      <c r="F107">
        <f t="shared" si="7"/>
        <v>2.2295313602719779E-3</v>
      </c>
      <c r="G107">
        <f t="shared" si="8"/>
        <v>1.1184200102201622E-2</v>
      </c>
      <c r="H107">
        <f t="shared" si="4"/>
        <v>1.550969497828367E-3</v>
      </c>
      <c r="I107">
        <f t="shared" si="5"/>
        <v>2.2283286070803811E-3</v>
      </c>
      <c r="J107">
        <f t="shared" si="3"/>
        <v>10.043846153846154</v>
      </c>
    </row>
    <row r="108" spans="1:10" x14ac:dyDescent="0.3">
      <c r="A108" t="s">
        <v>67</v>
      </c>
      <c r="B108">
        <v>10.4</v>
      </c>
      <c r="C108">
        <v>44.28</v>
      </c>
      <c r="D108" s="2">
        <v>2.5600000000000001E-2</v>
      </c>
      <c r="E108" s="13">
        <f t="shared" si="6"/>
        <v>2.5317807984289786E-2</v>
      </c>
      <c r="F108">
        <f t="shared" si="7"/>
        <v>2.4835657823320759E-3</v>
      </c>
      <c r="G108">
        <f t="shared" si="8"/>
        <v>1.155679174331606E-2</v>
      </c>
      <c r="H108">
        <f t="shared" si="4"/>
        <v>1.6026386619378817E-3</v>
      </c>
      <c r="I108">
        <f t="shared" si="5"/>
        <v>2.4822815569917069E-3</v>
      </c>
      <c r="J108">
        <f t="shared" si="3"/>
        <v>10.068076923076925</v>
      </c>
    </row>
    <row r="109" spans="1:10" x14ac:dyDescent="0.3">
      <c r="A109" t="s">
        <v>68</v>
      </c>
      <c r="B109">
        <v>10.34</v>
      </c>
      <c r="C109">
        <v>14.57</v>
      </c>
      <c r="D109" s="2">
        <v>-5.7999999999999996E-3</v>
      </c>
      <c r="E109" s="13">
        <f t="shared" si="6"/>
        <v>-5.7859370670439994E-3</v>
      </c>
      <c r="F109">
        <f t="shared" si="7"/>
        <v>1.9560310930679119E-3</v>
      </c>
      <c r="G109">
        <f t="shared" si="8"/>
        <v>1.128789988565381E-2</v>
      </c>
      <c r="H109">
        <f t="shared" si="4"/>
        <v>1.5653500703857275E-3</v>
      </c>
      <c r="I109">
        <f t="shared" si="5"/>
        <v>1.9548059326464835E-3</v>
      </c>
      <c r="J109">
        <f t="shared" si="3"/>
        <v>10.087307692307693</v>
      </c>
    </row>
    <row r="110" spans="1:10" x14ac:dyDescent="0.3">
      <c r="A110" s="1">
        <v>45690</v>
      </c>
      <c r="B110">
        <v>10.42</v>
      </c>
      <c r="C110">
        <v>41.15</v>
      </c>
      <c r="D110" s="2">
        <v>7.7000000000000002E-3</v>
      </c>
      <c r="E110" s="13">
        <f t="shared" si="6"/>
        <v>7.7071672449377385E-3</v>
      </c>
      <c r="F110">
        <f t="shared" si="7"/>
        <v>2.2696728397525452E-3</v>
      </c>
      <c r="G110">
        <f t="shared" si="8"/>
        <v>1.1215128808078621E-2</v>
      </c>
      <c r="H110">
        <f t="shared" si="4"/>
        <v>1.5552585376331079E-3</v>
      </c>
      <c r="I110">
        <f t="shared" si="5"/>
        <v>2.2684634251931048E-3</v>
      </c>
      <c r="J110">
        <f t="shared" si="3"/>
        <v>10.109615384615383</v>
      </c>
    </row>
    <row r="111" spans="1:10" x14ac:dyDescent="0.3">
      <c r="A111" s="1">
        <v>45902</v>
      </c>
      <c r="B111">
        <v>10.56</v>
      </c>
      <c r="C111">
        <v>30.4</v>
      </c>
      <c r="D111" s="2">
        <v>1.34E-2</v>
      </c>
      <c r="E111" s="13">
        <f t="shared" si="6"/>
        <v>1.3346241952894704E-2</v>
      </c>
      <c r="F111">
        <f t="shared" si="7"/>
        <v>2.1764842621682504E-3</v>
      </c>
      <c r="G111">
        <f t="shared" si="8"/>
        <v>1.1099771771615554E-2</v>
      </c>
      <c r="H111">
        <f t="shared" si="4"/>
        <v>1.5392613949426017E-3</v>
      </c>
      <c r="I111">
        <f t="shared" si="5"/>
        <v>2.1752995993472701E-3</v>
      </c>
      <c r="J111">
        <f t="shared" si="3"/>
        <v>10.131346153846152</v>
      </c>
    </row>
    <row r="112" spans="1:10" x14ac:dyDescent="0.3">
      <c r="A112" t="s">
        <v>69</v>
      </c>
      <c r="B112">
        <v>10.5</v>
      </c>
      <c r="C112">
        <v>48.14</v>
      </c>
      <c r="D112" s="2">
        <v>-5.7000000000000002E-3</v>
      </c>
      <c r="E112" s="13">
        <f t="shared" si="6"/>
        <v>-5.6980211146377786E-3</v>
      </c>
      <c r="F112">
        <f t="shared" si="7"/>
        <v>1.8640488364878212E-3</v>
      </c>
      <c r="G112">
        <f t="shared" si="8"/>
        <v>1.1088141286760431E-2</v>
      </c>
      <c r="H112">
        <f t="shared" si="4"/>
        <v>1.537648536884769E-3</v>
      </c>
      <c r="I112">
        <f t="shared" si="5"/>
        <v>1.8628666549763292E-3</v>
      </c>
      <c r="J112">
        <f t="shared" si="3"/>
        <v>10.149999999999999</v>
      </c>
    </row>
    <row r="113" spans="1:10" x14ac:dyDescent="0.3">
      <c r="A113" t="s">
        <v>70</v>
      </c>
      <c r="B113">
        <v>10.72</v>
      </c>
      <c r="C113">
        <v>65.11</v>
      </c>
      <c r="D113" s="2">
        <v>2.1000000000000001E-2</v>
      </c>
      <c r="E113" s="13">
        <f t="shared" si="6"/>
        <v>2.0735898479178342E-2</v>
      </c>
      <c r="F113">
        <f t="shared" si="7"/>
        <v>2.4249310410962384E-3</v>
      </c>
      <c r="G113">
        <f t="shared" si="8"/>
        <v>1.1292989214365506E-2</v>
      </c>
      <c r="H113">
        <f t="shared" si="4"/>
        <v>1.5660558332944857E-3</v>
      </c>
      <c r="I113">
        <f t="shared" si="5"/>
        <v>2.4237047756597405E-3</v>
      </c>
      <c r="J113">
        <f t="shared" si="3"/>
        <v>10.174423076923075</v>
      </c>
    </row>
    <row r="114" spans="1:10" x14ac:dyDescent="0.3">
      <c r="A114" s="1">
        <v>45691</v>
      </c>
      <c r="B114">
        <v>10.64</v>
      </c>
      <c r="C114">
        <v>49.43</v>
      </c>
      <c r="D114" s="2">
        <v>-7.4999999999999997E-3</v>
      </c>
      <c r="E114" s="13">
        <f t="shared" si="6"/>
        <v>-7.4906717291576257E-3</v>
      </c>
      <c r="F114">
        <f t="shared" si="7"/>
        <v>1.6798692096873504E-3</v>
      </c>
      <c r="G114">
        <f t="shared" si="8"/>
        <v>1.0611253480933943E-2</v>
      </c>
      <c r="H114">
        <f t="shared" si="4"/>
        <v>1.471516097017426E-3</v>
      </c>
      <c r="I114">
        <f t="shared" si="5"/>
        <v>1.6787865298754597E-3</v>
      </c>
      <c r="J114">
        <f t="shared" si="3"/>
        <v>10.19153846153846</v>
      </c>
    </row>
    <row r="115" spans="1:10" x14ac:dyDescent="0.3">
      <c r="A115" s="1">
        <v>45903</v>
      </c>
      <c r="B115">
        <v>10.32</v>
      </c>
      <c r="C115">
        <v>72.52</v>
      </c>
      <c r="D115" s="2">
        <v>-3.0099999999999998E-2</v>
      </c>
      <c r="E115" s="13">
        <f t="shared" si="6"/>
        <v>-3.053672386008165E-2</v>
      </c>
      <c r="F115">
        <f t="shared" si="7"/>
        <v>1.171682264426592E-3</v>
      </c>
      <c r="G115">
        <f t="shared" si="8"/>
        <v>1.1490387446523163E-2</v>
      </c>
      <c r="H115">
        <f t="shared" si="4"/>
        <v>1.5934300428225771E-3</v>
      </c>
      <c r="I115">
        <f t="shared" si="5"/>
        <v>1.1704127547759072E-3</v>
      </c>
      <c r="J115">
        <f t="shared" si="3"/>
        <v>10.203269230769232</v>
      </c>
    </row>
    <row r="116" spans="1:10" x14ac:dyDescent="0.3">
      <c r="A116" t="s">
        <v>71</v>
      </c>
      <c r="B116">
        <v>10.18</v>
      </c>
      <c r="C116">
        <v>56.56</v>
      </c>
      <c r="D116" s="2">
        <v>-1.3599999999999999E-2</v>
      </c>
      <c r="E116" s="13">
        <f t="shared" si="6"/>
        <v>-1.3658748931040016E-2</v>
      </c>
      <c r="F116">
        <f t="shared" si="7"/>
        <v>1.148156196673645E-3</v>
      </c>
      <c r="G116">
        <f t="shared" si="8"/>
        <v>1.1520007818946963E-2</v>
      </c>
      <c r="H116">
        <f t="shared" si="4"/>
        <v>1.5975376494215135E-3</v>
      </c>
      <c r="I116">
        <f t="shared" si="5"/>
        <v>1.1468801334029854E-3</v>
      </c>
      <c r="J116">
        <f t="shared" si="3"/>
        <v>10.214615384615383</v>
      </c>
    </row>
    <row r="117" spans="1:10" x14ac:dyDescent="0.3">
      <c r="A117" t="s">
        <v>72</v>
      </c>
      <c r="B117">
        <v>10.119999999999999</v>
      </c>
      <c r="C117">
        <v>60.87</v>
      </c>
      <c r="D117" s="2">
        <v>-5.8999999999999999E-3</v>
      </c>
      <c r="E117" s="13">
        <f t="shared" si="6"/>
        <v>-5.9113472630572374E-3</v>
      </c>
      <c r="F117">
        <f t="shared" si="7"/>
        <v>8.3498534532008243E-4</v>
      </c>
      <c r="G117">
        <f t="shared" si="8"/>
        <v>1.148559931640211E-2</v>
      </c>
      <c r="H117">
        <f t="shared" si="4"/>
        <v>1.592766048643152E-3</v>
      </c>
      <c r="I117">
        <f t="shared" si="5"/>
        <v>8.3371689347722729E-4</v>
      </c>
      <c r="J117">
        <f t="shared" si="3"/>
        <v>10.222884615384613</v>
      </c>
    </row>
    <row r="118" spans="1:10" x14ac:dyDescent="0.3">
      <c r="A118" t="s">
        <v>73</v>
      </c>
      <c r="B118">
        <v>10.24</v>
      </c>
      <c r="C118">
        <v>26.59</v>
      </c>
      <c r="D118" s="2">
        <v>1.1900000000000001E-2</v>
      </c>
      <c r="E118" s="13">
        <f t="shared" si="6"/>
        <v>1.1787955752042393E-2</v>
      </c>
      <c r="F118">
        <f t="shared" ref="F118:F149" si="9">AVERAGE(E67:E118)</f>
        <v>1.1611636728636001E-3</v>
      </c>
      <c r="G118">
        <f t="shared" ref="G118:G140" si="10">_xlfn.STDEV.S(E67:E118)</f>
        <v>1.1552271684861552E-2</v>
      </c>
      <c r="H118">
        <f t="shared" si="4"/>
        <v>1.6020118426099655E-3</v>
      </c>
      <c r="I118">
        <f t="shared" si="5"/>
        <v>1.1598804518916689E-3</v>
      </c>
      <c r="J118">
        <f t="shared" ref="J118:J150" si="11">AVERAGE(B67:B118)</f>
        <v>10.234423076923076</v>
      </c>
    </row>
    <row r="119" spans="1:10" x14ac:dyDescent="0.3">
      <c r="A119" s="1">
        <v>45812</v>
      </c>
      <c r="B119">
        <v>9.82</v>
      </c>
      <c r="C119">
        <v>115.2</v>
      </c>
      <c r="D119" s="2">
        <v>-4.1000000000000002E-2</v>
      </c>
      <c r="E119" s="13">
        <f t="shared" si="6"/>
        <v>-4.1880497244987207E-2</v>
      </c>
      <c r="F119">
        <f t="shared" si="9"/>
        <v>3.3583090414384016E-4</v>
      </c>
      <c r="G119">
        <f t="shared" si="10"/>
        <v>1.3003281703226559E-2</v>
      </c>
      <c r="H119">
        <f t="shared" ref="H119:H140" si="12">G119/SQRT(52)</f>
        <v>1.803230728087926E-3</v>
      </c>
      <c r="I119">
        <f t="shared" ref="I119:I150" si="13">F119-(H119^2)/2</f>
        <v>3.3420508361447989E-4</v>
      </c>
      <c r="J119">
        <f t="shared" si="11"/>
        <v>10.237692307692308</v>
      </c>
    </row>
    <row r="120" spans="1:10" x14ac:dyDescent="0.3">
      <c r="A120" t="s">
        <v>74</v>
      </c>
      <c r="B120">
        <v>10.02</v>
      </c>
      <c r="C120">
        <v>34.61</v>
      </c>
      <c r="D120" s="2">
        <v>2.0400000000000001E-2</v>
      </c>
      <c r="E120" s="13">
        <f t="shared" si="6"/>
        <v>2.0161973290344103E-2</v>
      </c>
      <c r="F120">
        <f t="shared" si="9"/>
        <v>7.2356115972738058E-4</v>
      </c>
      <c r="G120">
        <f t="shared" si="10"/>
        <v>1.3290493300123175E-2</v>
      </c>
      <c r="H120">
        <f t="shared" si="12"/>
        <v>1.8430598103771046E-3</v>
      </c>
      <c r="I120">
        <f t="shared" si="13"/>
        <v>7.2186272499506689E-4</v>
      </c>
      <c r="J120">
        <f t="shared" si="11"/>
        <v>10.24480769230769</v>
      </c>
    </row>
    <row r="121" spans="1:10" x14ac:dyDescent="0.3">
      <c r="A121" t="s">
        <v>75</v>
      </c>
      <c r="B121">
        <v>9.8699999999999992</v>
      </c>
      <c r="C121">
        <v>36.06</v>
      </c>
      <c r="D121" s="2">
        <v>-1.4999999999999999E-2</v>
      </c>
      <c r="E121" s="13">
        <f t="shared" si="6"/>
        <v>-1.5083242211328588E-2</v>
      </c>
      <c r="F121">
        <f t="shared" si="9"/>
        <v>1.5650763274944172E-4</v>
      </c>
      <c r="G121">
        <f t="shared" si="10"/>
        <v>1.3324377199001347E-2</v>
      </c>
      <c r="H121">
        <f t="shared" si="12"/>
        <v>1.847758661716254E-3</v>
      </c>
      <c r="I121">
        <f t="shared" si="13"/>
        <v>1.54800526713468E-4</v>
      </c>
      <c r="J121">
        <f t="shared" si="11"/>
        <v>10.246346153846153</v>
      </c>
    </row>
    <row r="122" spans="1:10" x14ac:dyDescent="0.3">
      <c r="A122" t="s">
        <v>76</v>
      </c>
      <c r="B122">
        <v>9.99</v>
      </c>
      <c r="C122">
        <v>48.9</v>
      </c>
      <c r="D122" s="2">
        <v>1.2200000000000001E-2</v>
      </c>
      <c r="E122" s="13">
        <f t="shared" si="6"/>
        <v>1.2084739215072046E-2</v>
      </c>
      <c r="F122">
        <f t="shared" si="9"/>
        <v>3.6927321122953168E-4</v>
      </c>
      <c r="G122">
        <f t="shared" si="10"/>
        <v>1.3426394768895943E-2</v>
      </c>
      <c r="H122">
        <f t="shared" si="12"/>
        <v>1.8619059532259924E-3</v>
      </c>
      <c r="I122">
        <f t="shared" si="13"/>
        <v>3.675398643402025E-4</v>
      </c>
      <c r="J122">
        <f t="shared" si="11"/>
        <v>10.25</v>
      </c>
    </row>
    <row r="123" spans="1:10" x14ac:dyDescent="0.3">
      <c r="A123" s="1">
        <v>45752</v>
      </c>
      <c r="B123">
        <v>9.89</v>
      </c>
      <c r="C123">
        <v>48.74</v>
      </c>
      <c r="D123" s="2">
        <v>-0.01</v>
      </c>
      <c r="E123" s="13">
        <f t="shared" si="6"/>
        <v>-1.00604470258414E-2</v>
      </c>
      <c r="F123">
        <f t="shared" si="9"/>
        <v>3.8928695946740812E-5</v>
      </c>
      <c r="G123">
        <f t="shared" si="10"/>
        <v>1.3468363952568743E-2</v>
      </c>
      <c r="H123">
        <f t="shared" si="12"/>
        <v>1.8677260318306712E-3</v>
      </c>
      <c r="I123">
        <f t="shared" si="13"/>
        <v>3.7184495681751838E-5</v>
      </c>
      <c r="J123">
        <f t="shared" si="11"/>
        <v>10.250384615384613</v>
      </c>
    </row>
    <row r="124" spans="1:10" x14ac:dyDescent="0.3">
      <c r="A124" s="1">
        <v>45966</v>
      </c>
      <c r="B124">
        <v>10.14</v>
      </c>
      <c r="C124">
        <v>67.400000000000006</v>
      </c>
      <c r="D124" s="2">
        <v>2.53E-2</v>
      </c>
      <c r="E124" s="13">
        <f t="shared" si="6"/>
        <v>2.4963852528416326E-2</v>
      </c>
      <c r="F124">
        <f t="shared" si="9"/>
        <v>4.2182840127414706E-4</v>
      </c>
      <c r="G124">
        <f t="shared" si="10"/>
        <v>1.3890132347722848E-2</v>
      </c>
      <c r="H124">
        <f t="shared" si="12"/>
        <v>1.9262147847190667E-3</v>
      </c>
      <c r="I124">
        <f t="shared" si="13"/>
        <v>4.199732495757119E-4</v>
      </c>
      <c r="J124">
        <f t="shared" si="11"/>
        <v>10.254615384615382</v>
      </c>
    </row>
    <row r="125" spans="1:10" x14ac:dyDescent="0.3">
      <c r="A125" t="s">
        <v>77</v>
      </c>
      <c r="B125">
        <v>9.8800000000000008</v>
      </c>
      <c r="C125">
        <v>50.44</v>
      </c>
      <c r="D125" s="2">
        <v>-2.5600000000000001E-2</v>
      </c>
      <c r="E125" s="13">
        <f t="shared" si="6"/>
        <v>-2.5975486403260677E-2</v>
      </c>
      <c r="F125">
        <f t="shared" si="9"/>
        <v>-1.9366497237685115E-4</v>
      </c>
      <c r="G125">
        <f t="shared" si="10"/>
        <v>1.4338615135349793E-2</v>
      </c>
      <c r="H125">
        <f t="shared" si="12"/>
        <v>1.9884081572941427E-3</v>
      </c>
      <c r="I125">
        <f t="shared" si="13"/>
        <v>-1.9564185587684811E-4</v>
      </c>
      <c r="J125">
        <f t="shared" si="11"/>
        <v>10.252692307692307</v>
      </c>
    </row>
    <row r="126" spans="1:10" x14ac:dyDescent="0.3">
      <c r="A126" t="s">
        <v>78</v>
      </c>
      <c r="B126">
        <v>9.7799999999999994</v>
      </c>
      <c r="C126">
        <v>64.790000000000006</v>
      </c>
      <c r="D126" s="2">
        <v>-1.01E-2</v>
      </c>
      <c r="E126" s="13">
        <f t="shared" si="6"/>
        <v>-1.0173027713050632E-2</v>
      </c>
      <c r="F126">
        <f t="shared" si="9"/>
        <v>-2.9271142327606635E-4</v>
      </c>
      <c r="G126">
        <f t="shared" si="10"/>
        <v>1.4390321435832553E-2</v>
      </c>
      <c r="H126">
        <f t="shared" si="12"/>
        <v>1.9955785310501097E-3</v>
      </c>
      <c r="I126">
        <f t="shared" si="13"/>
        <v>-2.9470259011286042E-4</v>
      </c>
      <c r="J126">
        <f t="shared" si="11"/>
        <v>10.249807692307691</v>
      </c>
    </row>
    <row r="127" spans="1:10" x14ac:dyDescent="0.3">
      <c r="A127" s="1">
        <v>45663</v>
      </c>
      <c r="B127">
        <v>9.6999999999999993</v>
      </c>
      <c r="C127">
        <v>33.71</v>
      </c>
      <c r="D127" s="2">
        <v>-8.2000000000000007E-3</v>
      </c>
      <c r="E127" s="13">
        <f t="shared" si="6"/>
        <v>-8.2135985373888564E-3</v>
      </c>
      <c r="F127">
        <f t="shared" si="9"/>
        <v>-5.8575399009055268E-4</v>
      </c>
      <c r="G127">
        <f t="shared" si="10"/>
        <v>1.4393544743730067E-2</v>
      </c>
      <c r="H127">
        <f t="shared" si="12"/>
        <v>1.9960255234309208E-3</v>
      </c>
      <c r="I127">
        <f t="shared" si="13"/>
        <v>-5.8774604903564652E-4</v>
      </c>
      <c r="J127">
        <f t="shared" si="11"/>
        <v>10.244038461538461</v>
      </c>
    </row>
    <row r="128" spans="1:10" x14ac:dyDescent="0.3">
      <c r="A128" s="1">
        <v>45875</v>
      </c>
      <c r="B128">
        <v>9.6999999999999993</v>
      </c>
      <c r="C128">
        <v>37.909999999999997</v>
      </c>
      <c r="D128" s="2">
        <v>0</v>
      </c>
      <c r="E128" s="13">
        <f t="shared" si="6"/>
        <v>0</v>
      </c>
      <c r="F128">
        <f t="shared" si="9"/>
        <v>-4.7002182998357155E-4</v>
      </c>
      <c r="G128">
        <f t="shared" si="10"/>
        <v>1.4373189356048971E-2</v>
      </c>
      <c r="H128">
        <f t="shared" si="12"/>
        <v>1.9932027390456848E-3</v>
      </c>
      <c r="I128">
        <f t="shared" si="13"/>
        <v>-4.7200825856304115E-4</v>
      </c>
      <c r="J128">
        <f t="shared" si="11"/>
        <v>10.239423076923078</v>
      </c>
    </row>
    <row r="129" spans="1:10" x14ac:dyDescent="0.3">
      <c r="A129" t="s">
        <v>79</v>
      </c>
      <c r="B129">
        <v>9.66</v>
      </c>
      <c r="C129">
        <v>51.09</v>
      </c>
      <c r="D129" s="2">
        <v>-4.1000000000000003E-3</v>
      </c>
      <c r="E129" s="13">
        <f t="shared" si="6"/>
        <v>-4.132237284910383E-3</v>
      </c>
      <c r="F129">
        <f t="shared" si="9"/>
        <v>-3.9408693057918162E-4</v>
      </c>
      <c r="G129">
        <f t="shared" si="10"/>
        <v>1.434259010244333E-2</v>
      </c>
      <c r="H129">
        <f t="shared" si="12"/>
        <v>1.988959386050836E-3</v>
      </c>
      <c r="I129">
        <f t="shared" si="13"/>
        <v>-3.9606491029886147E-4</v>
      </c>
      <c r="J129">
        <f t="shared" si="11"/>
        <v>10.235576923076923</v>
      </c>
    </row>
    <row r="130" spans="1:10" x14ac:dyDescent="0.3">
      <c r="A130" t="s">
        <v>80</v>
      </c>
      <c r="B130">
        <v>9.81</v>
      </c>
      <c r="C130">
        <v>48.25</v>
      </c>
      <c r="D130" s="2">
        <v>1.55E-2</v>
      </c>
      <c r="E130" s="13">
        <f t="shared" si="6"/>
        <v>1.5408625352845061E-2</v>
      </c>
      <c r="F130">
        <f t="shared" si="9"/>
        <v>-2.9182303883144828E-4</v>
      </c>
      <c r="G130">
        <f t="shared" si="10"/>
        <v>1.4437458988478325E-2</v>
      </c>
      <c r="H130">
        <f t="shared" si="12"/>
        <v>2.0021153334756564E-3</v>
      </c>
      <c r="I130">
        <f t="shared" si="13"/>
        <v>-2.9382727173571745E-4</v>
      </c>
      <c r="J130">
        <f t="shared" si="11"/>
        <v>10.232692307692304</v>
      </c>
    </row>
    <row r="131" spans="1:10" x14ac:dyDescent="0.3">
      <c r="A131" t="s">
        <v>81</v>
      </c>
      <c r="B131">
        <v>9.74</v>
      </c>
      <c r="C131">
        <v>52.58</v>
      </c>
      <c r="D131" s="2">
        <v>-7.1000000000000004E-3</v>
      </c>
      <c r="E131" s="13">
        <f t="shared" si="6"/>
        <v>-7.1611559228280646E-3</v>
      </c>
      <c r="F131">
        <f t="shared" si="9"/>
        <v>-5.8338455017576058E-4</v>
      </c>
      <c r="G131">
        <f t="shared" si="10"/>
        <v>1.4419800928472339E-2</v>
      </c>
      <c r="H131">
        <f t="shared" si="12"/>
        <v>1.999666601138087E-3</v>
      </c>
      <c r="I131">
        <f t="shared" si="13"/>
        <v>-5.8538388343361411E-4</v>
      </c>
      <c r="J131">
        <f t="shared" si="11"/>
        <v>10.226923076923073</v>
      </c>
    </row>
    <row r="132" spans="1:10" x14ac:dyDescent="0.3">
      <c r="A132" s="1">
        <v>45815</v>
      </c>
      <c r="B132">
        <v>9.69</v>
      </c>
      <c r="C132">
        <v>54.96</v>
      </c>
      <c r="D132" s="2">
        <v>-5.1000000000000004E-3</v>
      </c>
      <c r="E132" s="13">
        <f t="shared" ref="E132:E149" si="14">LN(B132/B131)</f>
        <v>-5.1466917517689172E-3</v>
      </c>
      <c r="F132">
        <f t="shared" si="9"/>
        <v>-6.823593915559321E-4</v>
      </c>
      <c r="G132">
        <f t="shared" si="10"/>
        <v>1.4433374750928886E-2</v>
      </c>
      <c r="H132">
        <f t="shared" si="12"/>
        <v>2.0015489516331301E-3</v>
      </c>
      <c r="I132">
        <f t="shared" si="13"/>
        <v>-6.8436249065882389E-4</v>
      </c>
      <c r="J132">
        <f t="shared" si="11"/>
        <v>10.220192307692306</v>
      </c>
    </row>
    <row r="133" spans="1:10" x14ac:dyDescent="0.3">
      <c r="A133" t="s">
        <v>82</v>
      </c>
      <c r="B133">
        <v>9.52</v>
      </c>
      <c r="C133">
        <v>51.55</v>
      </c>
      <c r="D133" s="2">
        <v>-1.7500000000000002E-2</v>
      </c>
      <c r="E133" s="13">
        <f t="shared" si="14"/>
        <v>-1.769957709940086E-2</v>
      </c>
      <c r="F133">
        <f t="shared" si="9"/>
        <v>-1.1373187508449988E-3</v>
      </c>
      <c r="G133">
        <f t="shared" si="10"/>
        <v>1.4591940750955421E-2</v>
      </c>
      <c r="H133">
        <f t="shared" si="12"/>
        <v>2.0235380994654724E-3</v>
      </c>
      <c r="I133">
        <f t="shared" si="13"/>
        <v>-1.1393661040649929E-3</v>
      </c>
      <c r="J133">
        <f t="shared" si="11"/>
        <v>10.209038461538459</v>
      </c>
    </row>
    <row r="134" spans="1:10" x14ac:dyDescent="0.3">
      <c r="A134" t="s">
        <v>83</v>
      </c>
      <c r="B134">
        <v>9.5399999999999991</v>
      </c>
      <c r="C134">
        <v>64.14</v>
      </c>
      <c r="D134" s="2">
        <v>2.0999999999999999E-3</v>
      </c>
      <c r="E134" s="13">
        <f t="shared" si="14"/>
        <v>2.0986366569212054E-3</v>
      </c>
      <c r="F134">
        <f t="shared" si="9"/>
        <v>-1.1729713981315784E-3</v>
      </c>
      <c r="G134">
        <f t="shared" si="10"/>
        <v>1.4581521866453239E-2</v>
      </c>
      <c r="H134">
        <f t="shared" si="12"/>
        <v>2.0220932601460202E-3</v>
      </c>
      <c r="I134">
        <f t="shared" si="13"/>
        <v>-1.1750158287079423E-3</v>
      </c>
      <c r="J134">
        <f t="shared" si="11"/>
        <v>10.197499999999998</v>
      </c>
    </row>
    <row r="135" spans="1:10" x14ac:dyDescent="0.3">
      <c r="A135" t="s">
        <v>84</v>
      </c>
      <c r="B135">
        <v>9.6</v>
      </c>
      <c r="C135">
        <v>70.83</v>
      </c>
      <c r="D135" s="2">
        <v>6.3E-3</v>
      </c>
      <c r="E135" s="13">
        <f t="shared" si="14"/>
        <v>6.269613013595395E-3</v>
      </c>
      <c r="F135">
        <f t="shared" si="9"/>
        <v>-1.241125406491757E-3</v>
      </c>
      <c r="G135">
        <f t="shared" si="10"/>
        <v>1.4537379189730137E-2</v>
      </c>
      <c r="H135">
        <f t="shared" si="12"/>
        <v>2.0159717722859675E-3</v>
      </c>
      <c r="I135">
        <f t="shared" si="13"/>
        <v>-1.2431574775850838E-3</v>
      </c>
      <c r="J135">
        <f t="shared" si="11"/>
        <v>10.185192307692306</v>
      </c>
    </row>
    <row r="136" spans="1:10" x14ac:dyDescent="0.3">
      <c r="A136" s="1">
        <v>45724</v>
      </c>
      <c r="B136">
        <v>9.61</v>
      </c>
      <c r="C136">
        <v>54.61</v>
      </c>
      <c r="D136" s="2">
        <v>1E-3</v>
      </c>
      <c r="E136" s="13">
        <f t="shared" si="14"/>
        <v>1.0411245084105101E-3</v>
      </c>
      <c r="F136">
        <f t="shared" si="9"/>
        <v>-1.0702734455410568E-3</v>
      </c>
      <c r="G136">
        <f t="shared" si="10"/>
        <v>1.4510448400482335E-2</v>
      </c>
      <c r="H136">
        <f t="shared" si="12"/>
        <v>2.0122371437659033E-3</v>
      </c>
      <c r="I136">
        <f t="shared" si="13"/>
        <v>-1.0722979947024325E-3</v>
      </c>
      <c r="J136">
        <f t="shared" si="11"/>
        <v>10.174615384615386</v>
      </c>
    </row>
    <row r="137" spans="1:10" x14ac:dyDescent="0.3">
      <c r="A137" s="1">
        <v>45938</v>
      </c>
      <c r="B137">
        <v>9.8000000000000007</v>
      </c>
      <c r="C137">
        <v>65.52</v>
      </c>
      <c r="D137" s="2">
        <v>1.9800000000000002E-2</v>
      </c>
      <c r="E137" s="13">
        <f t="shared" si="14"/>
        <v>1.9578162694325201E-2</v>
      </c>
      <c r="F137">
        <f t="shared" si="9"/>
        <v>-8.8212411665571891E-4</v>
      </c>
      <c r="G137">
        <f t="shared" si="10"/>
        <v>1.4716060841588503E-2</v>
      </c>
      <c r="H137">
        <f t="shared" si="12"/>
        <v>2.0407504591228886E-3</v>
      </c>
      <c r="I137">
        <f t="shared" si="13"/>
        <v>-8.8420644787392405E-4</v>
      </c>
      <c r="J137">
        <f t="shared" si="11"/>
        <v>10.165769230769229</v>
      </c>
    </row>
    <row r="138" spans="1:10" x14ac:dyDescent="0.3">
      <c r="A138" t="s">
        <v>85</v>
      </c>
      <c r="B138">
        <v>9.8000000000000007</v>
      </c>
      <c r="C138">
        <v>76.209999999999994</v>
      </c>
      <c r="D138" s="2">
        <v>0</v>
      </c>
      <c r="E138" s="13">
        <f t="shared" si="14"/>
        <v>0</v>
      </c>
      <c r="F138">
        <f t="shared" si="9"/>
        <v>-1.2165807072685888E-3</v>
      </c>
      <c r="G138">
        <f t="shared" si="10"/>
        <v>1.44884754285837E-2</v>
      </c>
      <c r="H138">
        <f t="shared" si="12"/>
        <v>2.0091900408099475E-3</v>
      </c>
      <c r="I138">
        <f t="shared" si="13"/>
        <v>-1.2185991295786337E-3</v>
      </c>
      <c r="J138">
        <f t="shared" si="11"/>
        <v>10.153461538461537</v>
      </c>
    </row>
    <row r="139" spans="1:10" x14ac:dyDescent="0.3">
      <c r="A139" t="s">
        <v>86</v>
      </c>
      <c r="B139">
        <v>9.9</v>
      </c>
      <c r="C139">
        <v>133.81</v>
      </c>
      <c r="D139" s="2">
        <v>1.0200000000000001E-2</v>
      </c>
      <c r="E139" s="13">
        <f t="shared" si="14"/>
        <v>1.0152371464017908E-2</v>
      </c>
      <c r="F139">
        <f t="shared" si="9"/>
        <v>-1.6376501603905232E-3</v>
      </c>
      <c r="G139">
        <f t="shared" si="10"/>
        <v>1.3804811772922277E-2</v>
      </c>
      <c r="H139">
        <f t="shared" si="12"/>
        <v>1.914382949823085E-3</v>
      </c>
      <c r="I139">
        <f t="shared" si="13"/>
        <v>-1.6394825914298099E-3</v>
      </c>
      <c r="J139">
        <f t="shared" si="11"/>
        <v>10.136538461538461</v>
      </c>
    </row>
    <row r="140" spans="1:10" x14ac:dyDescent="0.3">
      <c r="A140" t="s">
        <v>87</v>
      </c>
      <c r="B140">
        <v>9.99</v>
      </c>
      <c r="C140">
        <v>31.28</v>
      </c>
      <c r="D140" s="2">
        <v>9.1000000000000004E-3</v>
      </c>
      <c r="E140" s="13">
        <f t="shared" si="14"/>
        <v>9.0498355199178562E-3</v>
      </c>
      <c r="F140">
        <f t="shared" si="9"/>
        <v>-1.499260412879085E-3</v>
      </c>
      <c r="G140">
        <f t="shared" si="10"/>
        <v>1.3876381460435018E-2</v>
      </c>
      <c r="H140">
        <f t="shared" si="12"/>
        <v>1.9243078797498592E-3</v>
      </c>
      <c r="I140">
        <f t="shared" si="13"/>
        <v>-1.5011118932871186E-3</v>
      </c>
      <c r="J140">
        <f t="shared" si="11"/>
        <v>10.12096153846154</v>
      </c>
    </row>
    <row r="141" spans="1:10" x14ac:dyDescent="0.3">
      <c r="A141" s="1">
        <v>45847</v>
      </c>
      <c r="B141">
        <v>9.8699999999999992</v>
      </c>
      <c r="C141">
        <v>56.57</v>
      </c>
      <c r="D141" s="2">
        <v>-1.2E-2</v>
      </c>
      <c r="E141" s="13">
        <f t="shared" si="14"/>
        <v>-1.2084739215071999E-2</v>
      </c>
      <c r="F141">
        <f t="shared" si="9"/>
        <v>-1.4446275090020905E-3</v>
      </c>
      <c r="G141">
        <f>_xlfn.STDEV.S(E90:E141)</f>
        <v>1.3827991854618553E-2</v>
      </c>
      <c r="H141">
        <f>G141/SQRT(52)</f>
        <v>1.9175974487894453E-3</v>
      </c>
      <c r="I141">
        <f t="shared" si="13"/>
        <v>-1.4464660989898924E-3</v>
      </c>
      <c r="J141">
        <f t="shared" si="11"/>
        <v>10.106153846153846</v>
      </c>
    </row>
    <row r="142" spans="1:10" x14ac:dyDescent="0.3">
      <c r="A142" s="3" t="s">
        <v>88</v>
      </c>
      <c r="B142">
        <v>9.8000000000000007</v>
      </c>
      <c r="C142">
        <v>33.54</v>
      </c>
      <c r="D142" s="2">
        <v>-7.1000000000000004E-3</v>
      </c>
      <c r="E142" s="13">
        <f t="shared" si="14"/>
        <v>-7.1174677688638785E-3</v>
      </c>
      <c r="F142">
        <f t="shared" si="9"/>
        <v>-1.5090695277210678E-3</v>
      </c>
      <c r="G142">
        <f t="shared" ref="G142:G149" si="15">_xlfn.STDEV.S(E91:E142)</f>
        <v>1.3846819876785642E-2</v>
      </c>
      <c r="H142">
        <f t="shared" ref="H142:H149" si="16">G142/SQRT(52)</f>
        <v>1.9202084256870998E-3</v>
      </c>
      <c r="I142">
        <f t="shared" si="13"/>
        <v>-1.5109131279201077E-3</v>
      </c>
      <c r="J142">
        <f t="shared" si="11"/>
        <v>10.090769230769229</v>
      </c>
    </row>
    <row r="143" spans="1:10" x14ac:dyDescent="0.3">
      <c r="A143" s="3" t="s">
        <v>89</v>
      </c>
      <c r="B143">
        <v>9.89</v>
      </c>
      <c r="C143">
        <v>50.26</v>
      </c>
      <c r="D143" s="2">
        <v>9.1999999999999998E-3</v>
      </c>
      <c r="E143" s="13">
        <f t="shared" si="14"/>
        <v>9.1417599580945093E-3</v>
      </c>
      <c r="F143">
        <f t="shared" si="9"/>
        <v>-1.1509829140164862E-3</v>
      </c>
      <c r="G143">
        <f t="shared" si="15"/>
        <v>1.3877412993345967E-2</v>
      </c>
      <c r="H143">
        <f t="shared" si="16"/>
        <v>1.9244509276268881E-3</v>
      </c>
      <c r="I143">
        <f t="shared" si="13"/>
        <v>-1.1528346697029083E-3</v>
      </c>
      <c r="J143">
        <f t="shared" si="11"/>
        <v>10.079038461538461</v>
      </c>
    </row>
    <row r="144" spans="1:10" x14ac:dyDescent="0.3">
      <c r="A144" s="3" t="s">
        <v>90</v>
      </c>
      <c r="B144">
        <v>10</v>
      </c>
      <c r="C144">
        <v>54.95</v>
      </c>
      <c r="D144" s="2">
        <v>1.11E-2</v>
      </c>
      <c r="E144" s="13">
        <f t="shared" si="14"/>
        <v>1.1060947359424976E-2</v>
      </c>
      <c r="F144">
        <f t="shared" si="9"/>
        <v>-9.3827238787369831E-4</v>
      </c>
      <c r="G144">
        <f t="shared" si="15"/>
        <v>1.3979793443020059E-2</v>
      </c>
      <c r="H144">
        <f t="shared" si="16"/>
        <v>1.9386485415078497E-3</v>
      </c>
      <c r="I144">
        <f t="shared" si="13"/>
        <v>-9.4015156695744352E-4</v>
      </c>
      <c r="J144">
        <f t="shared" si="11"/>
        <v>10.069423076923076</v>
      </c>
    </row>
    <row r="145" spans="1:10" x14ac:dyDescent="0.3">
      <c r="A145" s="7">
        <v>45787</v>
      </c>
      <c r="B145">
        <v>9.9499999999999993</v>
      </c>
      <c r="C145">
        <v>37.35</v>
      </c>
      <c r="D145" s="2">
        <v>-5.0000000000000001E-3</v>
      </c>
      <c r="E145" s="13">
        <f t="shared" si="14"/>
        <v>-5.0125418235443982E-3</v>
      </c>
      <c r="F145">
        <f t="shared" si="9"/>
        <v>-1.1442447520695097E-3</v>
      </c>
      <c r="G145">
        <f t="shared" si="15"/>
        <v>1.3958986886799286E-2</v>
      </c>
      <c r="H145">
        <f t="shared" si="16"/>
        <v>1.9357631913032411E-3</v>
      </c>
      <c r="I145">
        <f t="shared" si="13"/>
        <v>-1.1461183416359121E-3</v>
      </c>
      <c r="J145">
        <f t="shared" si="11"/>
        <v>10.057692307692308</v>
      </c>
    </row>
    <row r="146" spans="1:10" x14ac:dyDescent="0.3">
      <c r="A146" s="7">
        <v>46001</v>
      </c>
      <c r="B146">
        <v>9.89</v>
      </c>
      <c r="C146">
        <v>53.41</v>
      </c>
      <c r="D146" s="2">
        <v>-6.0000000000000001E-3</v>
      </c>
      <c r="E146" s="13">
        <f t="shared" si="14"/>
        <v>-6.0484055358804812E-3</v>
      </c>
      <c r="F146">
        <f t="shared" si="9"/>
        <v>-1.4418129442899633E-3</v>
      </c>
      <c r="G146">
        <f t="shared" si="15"/>
        <v>1.3894034207366939E-2</v>
      </c>
      <c r="H146">
        <f t="shared" si="16"/>
        <v>1.9267558752966219E-3</v>
      </c>
      <c r="I146">
        <f t="shared" si="13"/>
        <v>-1.4436691383914583E-3</v>
      </c>
      <c r="J146">
        <f t="shared" si="11"/>
        <v>10.042884615384615</v>
      </c>
    </row>
    <row r="147" spans="1:10" x14ac:dyDescent="0.3">
      <c r="A147" s="3" t="s">
        <v>91</v>
      </c>
      <c r="B147">
        <v>9.9</v>
      </c>
      <c r="C147">
        <v>43.01</v>
      </c>
      <c r="D147" s="2">
        <v>1E-3</v>
      </c>
      <c r="E147" s="13">
        <f t="shared" si="14"/>
        <v>1.0106115059234598E-3</v>
      </c>
      <c r="F147">
        <f t="shared" si="9"/>
        <v>-1.2046689610129291E-3</v>
      </c>
      <c r="G147">
        <f t="shared" si="15"/>
        <v>1.3827188110071628E-2</v>
      </c>
      <c r="H147">
        <f t="shared" si="16"/>
        <v>1.9174859894749718E-3</v>
      </c>
      <c r="I147">
        <f t="shared" si="13"/>
        <v>-1.2065073372728454E-3</v>
      </c>
      <c r="J147">
        <f t="shared" si="11"/>
        <v>10.030576923076922</v>
      </c>
    </row>
    <row r="148" spans="1:10" x14ac:dyDescent="0.3">
      <c r="A148" s="3" t="s">
        <v>92</v>
      </c>
      <c r="B148">
        <v>9.8699999999999992</v>
      </c>
      <c r="C148">
        <v>47.13</v>
      </c>
      <c r="D148" s="2">
        <v>-3.0000000000000001E-3</v>
      </c>
      <c r="E148" s="13">
        <f t="shared" si="14"/>
        <v>-3.0349036951541584E-3</v>
      </c>
      <c r="F148">
        <f t="shared" si="9"/>
        <v>-1.0058837058064861E-3</v>
      </c>
      <c r="G148">
        <f t="shared" si="15"/>
        <v>1.3722748458417961E-2</v>
      </c>
      <c r="H148">
        <f t="shared" si="16"/>
        <v>1.9030028156584761E-3</v>
      </c>
      <c r="I148">
        <f t="shared" si="13"/>
        <v>-1.0076944156646882E-3</v>
      </c>
      <c r="J148">
        <f t="shared" si="11"/>
        <v>10.020384615384614</v>
      </c>
    </row>
    <row r="149" spans="1:10" x14ac:dyDescent="0.3">
      <c r="A149" s="7">
        <v>45699</v>
      </c>
      <c r="B149">
        <v>9.91</v>
      </c>
      <c r="C149">
        <v>56.07</v>
      </c>
      <c r="D149" s="2">
        <v>4.1000000000000003E-3</v>
      </c>
      <c r="E149" s="13">
        <f t="shared" si="14"/>
        <v>4.0444948965064438E-3</v>
      </c>
      <c r="F149">
        <f t="shared" si="9"/>
        <v>-1.1121328619534904E-3</v>
      </c>
      <c r="G149">
        <f t="shared" si="15"/>
        <v>1.3660510343812229E-2</v>
      </c>
      <c r="H149">
        <f t="shared" si="16"/>
        <v>1.8943719420623541E-3</v>
      </c>
      <c r="I149">
        <f t="shared" si="13"/>
        <v>-1.1139271844809269E-3</v>
      </c>
      <c r="J149">
        <f t="shared" si="11"/>
        <v>10.009038461538463</v>
      </c>
    </row>
    <row r="150" spans="1:10" x14ac:dyDescent="0.3">
      <c r="A150" s="7">
        <v>45911</v>
      </c>
      <c r="B150">
        <v>9.93</v>
      </c>
      <c r="C150">
        <v>47.19</v>
      </c>
      <c r="D150" s="2">
        <v>2E-3</v>
      </c>
      <c r="E150" s="13">
        <f>LN(B150/B149)</f>
        <v>2.0161297151844956E-3</v>
      </c>
      <c r="F150">
        <f>AVERAGE(E99:E150)</f>
        <v>-8.1522613027415827E-4</v>
      </c>
      <c r="G150">
        <f>_xlfn.STDEV.S(E99:E150)</f>
        <v>1.3555066178580752E-2</v>
      </c>
      <c r="H150">
        <f>G150/SQRT(52)</f>
        <v>1.8797494672761776E-3</v>
      </c>
      <c r="I150">
        <f t="shared" si="13"/>
        <v>-8.1699285930402084E-4</v>
      </c>
      <c r="J150">
        <f t="shared" si="11"/>
        <v>10.000769230769233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40AB-A41E-4C33-9785-CC334FCC835C}">
  <dimension ref="A2:V25"/>
  <sheetViews>
    <sheetView zoomScale="52" zoomScaleNormal="79" workbookViewId="0">
      <pane xSplit="1" topLeftCell="B1" activePane="topRight" state="frozen"/>
      <selection activeCell="A32" sqref="A32"/>
      <selection pane="topRight" activeCell="R27" sqref="R27"/>
    </sheetView>
  </sheetViews>
  <sheetFormatPr defaultRowHeight="14.4" x14ac:dyDescent="0.3"/>
  <cols>
    <col min="1" max="1" width="12.77734375" customWidth="1"/>
    <col min="9" max="9" width="8.77734375" customWidth="1"/>
    <col min="10" max="10" width="12.21875" customWidth="1"/>
    <col min="11" max="11" width="11" customWidth="1"/>
    <col min="12" max="12" width="10.77734375" customWidth="1"/>
    <col min="13" max="13" width="26.77734375" customWidth="1"/>
    <col min="14" max="14" width="15" customWidth="1"/>
    <col min="15" max="16" width="10.77734375" customWidth="1"/>
    <col min="17" max="17" width="34.5546875" customWidth="1"/>
    <col min="18" max="18" width="32.77734375" customWidth="1"/>
    <col min="19" max="19" width="14.77734375" customWidth="1"/>
    <col min="20" max="20" width="25.21875" customWidth="1"/>
  </cols>
  <sheetData>
    <row r="2" spans="1:22" x14ac:dyDescent="0.3">
      <c r="A2" t="s">
        <v>0</v>
      </c>
      <c r="B2" t="s">
        <v>115</v>
      </c>
      <c r="C2" t="s">
        <v>98</v>
      </c>
      <c r="D2" t="s">
        <v>3</v>
      </c>
      <c r="E2" s="3" t="s">
        <v>99</v>
      </c>
      <c r="F2" s="3" t="s">
        <v>100</v>
      </c>
      <c r="G2" s="4" t="s">
        <v>101</v>
      </c>
      <c r="H2" s="5" t="s">
        <v>102</v>
      </c>
      <c r="I2" s="6" t="s">
        <v>103</v>
      </c>
      <c r="J2" t="s">
        <v>111</v>
      </c>
      <c r="K2" s="11" t="s">
        <v>109</v>
      </c>
      <c r="L2" s="11" t="s">
        <v>108</v>
      </c>
      <c r="M2" s="11" t="s">
        <v>116</v>
      </c>
      <c r="N2" s="8" t="s">
        <v>104</v>
      </c>
      <c r="O2" s="9" t="s">
        <v>109</v>
      </c>
      <c r="P2" s="9" t="s">
        <v>108</v>
      </c>
      <c r="Q2" s="9" t="s">
        <v>117</v>
      </c>
      <c r="R2" s="8" t="s">
        <v>121</v>
      </c>
      <c r="S2" t="s">
        <v>106</v>
      </c>
      <c r="T2" t="s">
        <v>112</v>
      </c>
      <c r="U2" t="s">
        <v>113</v>
      </c>
      <c r="V2" t="s">
        <v>114</v>
      </c>
    </row>
    <row r="3" spans="1:22" x14ac:dyDescent="0.3">
      <c r="A3" s="1">
        <v>45847</v>
      </c>
      <c r="B3">
        <v>9.8699999999999992</v>
      </c>
      <c r="C3">
        <v>56.57</v>
      </c>
      <c r="D3">
        <v>-1.2E-2</v>
      </c>
      <c r="E3">
        <f>'In-Sample'!E141</f>
        <v>-1.2084739215071999E-2</v>
      </c>
      <c r="F3">
        <f>'In-Sample'!F141</f>
        <v>-1.4446275090020905E-3</v>
      </c>
      <c r="G3">
        <f>'In-Sample'!G141</f>
        <v>1.3827991854618553E-2</v>
      </c>
      <c r="H3">
        <f>'In-Sample'!H141</f>
        <v>1.9175974487894453E-3</v>
      </c>
      <c r="I3">
        <f>'In-Sample'!I141</f>
        <v>-1.4464660989898924E-3</v>
      </c>
      <c r="J3">
        <f>'In-Sample'!J141</f>
        <v>10.106153846153846</v>
      </c>
      <c r="U3">
        <f ca="1">'Out Sample Forecast'!Q1</f>
        <v>6.7637454102310532E-4</v>
      </c>
      <c r="V3">
        <f ca="1">'Out Sample Forecast (Dividend)'!M2</f>
        <v>1.8486659543668479E-3</v>
      </c>
    </row>
    <row r="4" spans="1:22" x14ac:dyDescent="0.3">
      <c r="A4" s="10" t="s">
        <v>88</v>
      </c>
      <c r="B4">
        <v>9.8000000000000007</v>
      </c>
      <c r="C4">
        <v>33.54</v>
      </c>
      <c r="D4">
        <v>-7.1000000000000004E-3</v>
      </c>
      <c r="E4">
        <f>'In-Sample'!E142</f>
        <v>-7.1174677688638785E-3</v>
      </c>
      <c r="F4">
        <f>'In-Sample'!F142</f>
        <v>-1.5090695277210678E-3</v>
      </c>
      <c r="G4">
        <f>'In-Sample'!G142</f>
        <v>1.3846819876785642E-2</v>
      </c>
      <c r="H4">
        <f>'In-Sample'!H142</f>
        <v>1.9202084256870998E-3</v>
      </c>
      <c r="I4">
        <f>'In-Sample'!I142</f>
        <v>-1.5109131279201077E-3</v>
      </c>
      <c r="J4">
        <f>'In-Sample'!J142</f>
        <v>10.090769230769229</v>
      </c>
      <c r="K4">
        <f t="shared" ref="K4:K12" si="0">J4*EXP(I4-1.96*H4)</f>
        <v>10.037685369131536</v>
      </c>
      <c r="L4">
        <f>J4*EXP(I4+1.96*H4)</f>
        <v>10.11352628279028</v>
      </c>
      <c r="M4">
        <f>L4-K4</f>
        <v>7.5840913658744569E-2</v>
      </c>
      <c r="N4">
        <f ca="1">'Out Sample Forecast'!J3</f>
        <v>9.869825709302317</v>
      </c>
      <c r="O4">
        <f ca="1">'Out Sample Forecast'!K3</f>
        <v>9.817904151058455</v>
      </c>
      <c r="P4">
        <f ca="1">'Out Sample Forecast'!L3</f>
        <v>9.8920844818466751</v>
      </c>
      <c r="Q4">
        <f ca="1">'Out Sample Forecast'!M3</f>
        <v>7.4180330788220061E-2</v>
      </c>
      <c r="R4">
        <f ca="1">'Out Sample Forecast (Dividend)'!K3</f>
        <v>9.8581624685135214</v>
      </c>
      <c r="S4">
        <f ca="1">'Out Sample Forecast'!O3</f>
        <v>-7.1250723777873714E-3</v>
      </c>
      <c r="T4">
        <f ca="1">'Out Sample Forecast (Dividend)'!L3</f>
        <v>-5.9349457666857848E-3</v>
      </c>
    </row>
    <row r="5" spans="1:22" x14ac:dyDescent="0.3">
      <c r="A5" s="10" t="s">
        <v>89</v>
      </c>
      <c r="B5">
        <v>9.89</v>
      </c>
      <c r="C5">
        <v>50.26</v>
      </c>
      <c r="D5">
        <v>9.1999999999999998E-3</v>
      </c>
      <c r="E5">
        <f>'In-Sample'!E143</f>
        <v>9.1417599580945093E-3</v>
      </c>
      <c r="F5">
        <f>'In-Sample'!F143</f>
        <v>-1.1509829140164862E-3</v>
      </c>
      <c r="G5">
        <f>'In-Sample'!G143</f>
        <v>1.3877412993345967E-2</v>
      </c>
      <c r="H5">
        <f>'In-Sample'!H143</f>
        <v>1.9244509276268881E-3</v>
      </c>
      <c r="I5">
        <f>'In-Sample'!I143</f>
        <v>-1.1528346697029083E-3</v>
      </c>
      <c r="J5">
        <f>'In-Sample'!J143</f>
        <v>10.079038461538461</v>
      </c>
      <c r="K5">
        <f t="shared" si="0"/>
        <v>10.029523655630475</v>
      </c>
      <c r="L5">
        <f t="shared" ref="L5:L12" si="1">J5*EXP(I5+1.96*H5)</f>
        <v>10.105470961226638</v>
      </c>
      <c r="M5">
        <f t="shared" ref="M5:M12" si="2">L5-K5</f>
        <v>7.5947305596162806E-2</v>
      </c>
      <c r="N5">
        <f ca="1">'Out Sample Forecast'!J4</f>
        <v>9.7996146455954101</v>
      </c>
      <c r="O5">
        <f ca="1">'Out Sample Forecast'!K4</f>
        <v>9.7514725515850209</v>
      </c>
      <c r="P5">
        <f ca="1">'Out Sample Forecast'!L4</f>
        <v>9.8253143501904869</v>
      </c>
      <c r="Q5">
        <f ca="1">'Out Sample Forecast'!M4</f>
        <v>7.3841798605466025E-2</v>
      </c>
      <c r="R5">
        <f ca="1">'Out Sample Forecast (Dividend)'!K4</f>
        <v>9.7882539586411674</v>
      </c>
      <c r="S5">
        <f ca="1">'Out Sample Forecast'!O4</f>
        <v>9.1390651571881185E-3</v>
      </c>
      <c r="T5">
        <f ca="1">'Out Sample Forecast (Dividend)'!L4</f>
        <v>1.028776960149981E-2</v>
      </c>
    </row>
    <row r="6" spans="1:22" x14ac:dyDescent="0.3">
      <c r="A6" s="10" t="s">
        <v>90</v>
      </c>
      <c r="B6">
        <v>10</v>
      </c>
      <c r="C6">
        <v>54.95</v>
      </c>
      <c r="D6">
        <v>1.11E-2</v>
      </c>
      <c r="E6">
        <f>'In-Sample'!E144</f>
        <v>1.1060947359424976E-2</v>
      </c>
      <c r="F6">
        <f>'In-Sample'!F144</f>
        <v>-9.3827238787369831E-4</v>
      </c>
      <c r="G6">
        <f>'In-Sample'!G144</f>
        <v>1.3979793443020059E-2</v>
      </c>
      <c r="H6">
        <f>'In-Sample'!H144</f>
        <v>1.9386485415078497E-3</v>
      </c>
      <c r="I6">
        <f>'In-Sample'!I144</f>
        <v>-9.4015156695744352E-4</v>
      </c>
      <c r="J6">
        <f>'In-Sample'!J144</f>
        <v>10.069423076923076</v>
      </c>
      <c r="K6">
        <f t="shared" si="0"/>
        <v>10.021807925947309</v>
      </c>
      <c r="L6">
        <f t="shared" si="1"/>
        <v>10.098258804535595</v>
      </c>
      <c r="M6">
        <f t="shared" si="2"/>
        <v>7.6450878588286031E-2</v>
      </c>
      <c r="N6">
        <f ca="1">'Out Sample Forecast'!J5</f>
        <v>9.8897738547130079</v>
      </c>
      <c r="O6">
        <f ca="1">'Out Sample Forecast'!K5</f>
        <v>9.8430082086962507</v>
      </c>
      <c r="P6">
        <f ca="1">'Out Sample Forecast'!L5</f>
        <v>9.918095122261839</v>
      </c>
      <c r="Q6">
        <f ca="1">'Out Sample Forecast'!M5</f>
        <v>7.5086913565588276E-2</v>
      </c>
      <c r="R6">
        <f ca="1">'Out Sample Forecast (Dividend)'!K5</f>
        <v>9.8781998524091961</v>
      </c>
      <c r="S6">
        <f ca="1">'Out Sample Forecast'!O5</f>
        <v>1.1022614528699215E-2</v>
      </c>
      <c r="T6">
        <f ca="1">'Out Sample Forecast (Dividend)'!L5</f>
        <v>1.2180014759080393E-2</v>
      </c>
    </row>
    <row r="7" spans="1:22" x14ac:dyDescent="0.3">
      <c r="A7" s="10">
        <v>45787</v>
      </c>
      <c r="B7">
        <v>9.9499999999999993</v>
      </c>
      <c r="C7">
        <v>37.35</v>
      </c>
      <c r="D7">
        <v>-5.0000000000000001E-3</v>
      </c>
      <c r="E7">
        <f>'In-Sample'!E145</f>
        <v>-5.0125418235443982E-3</v>
      </c>
      <c r="F7">
        <f>'In-Sample'!F145</f>
        <v>-1.1442447520695097E-3</v>
      </c>
      <c r="G7">
        <f>'In-Sample'!G145</f>
        <v>1.3958986886799286E-2</v>
      </c>
      <c r="H7">
        <f>'In-Sample'!H145</f>
        <v>1.9357631913032411E-3</v>
      </c>
      <c r="I7">
        <f>'In-Sample'!I145</f>
        <v>-1.1461183416359121E-3</v>
      </c>
      <c r="J7">
        <f>'In-Sample'!J145</f>
        <v>10.057692307692308</v>
      </c>
      <c r="K7">
        <f t="shared" si="0"/>
        <v>10.008127684102435</v>
      </c>
      <c r="L7">
        <f t="shared" si="1"/>
        <v>10.084360143090761</v>
      </c>
      <c r="M7">
        <f t="shared" si="2"/>
        <v>7.6232458988325646E-2</v>
      </c>
      <c r="N7">
        <f ca="1">'Out Sample Forecast'!J6</f>
        <v>9.9997822698576826</v>
      </c>
      <c r="O7">
        <f ca="1">'Out Sample Forecast'!K6</f>
        <v>9.9505030287531291</v>
      </c>
      <c r="P7">
        <f ca="1">'Out Sample Forecast'!L6</f>
        <v>10.026296557572467</v>
      </c>
      <c r="Q7">
        <f ca="1">'Out Sample Forecast'!M6</f>
        <v>7.5793528819337652E-2</v>
      </c>
      <c r="R7">
        <f ca="1">'Out Sample Forecast (Dividend)'!K6</f>
        <v>9.9880983320163619</v>
      </c>
      <c r="S7">
        <f ca="1">'Out Sample Forecast'!O6</f>
        <v>-5.0032432017772166E-3</v>
      </c>
      <c r="T7">
        <f ca="1">'Out Sample Forecast (Dividend)'!L6</f>
        <v>-3.8289780920967432E-3</v>
      </c>
    </row>
    <row r="8" spans="1:22" x14ac:dyDescent="0.3">
      <c r="A8" s="10">
        <v>46001</v>
      </c>
      <c r="B8">
        <v>9.89</v>
      </c>
      <c r="C8">
        <v>53.41</v>
      </c>
      <c r="D8">
        <v>-6.0000000000000001E-3</v>
      </c>
      <c r="E8">
        <f>'In-Sample'!E146</f>
        <v>-6.0484055358804812E-3</v>
      </c>
      <c r="F8">
        <f>'In-Sample'!F146</f>
        <v>-1.4418129442899633E-3</v>
      </c>
      <c r="G8">
        <f>'In-Sample'!G146</f>
        <v>1.3894034207366939E-2</v>
      </c>
      <c r="H8">
        <f>'In-Sample'!H146</f>
        <v>1.9267558752966219E-3</v>
      </c>
      <c r="I8">
        <f>'In-Sample'!I146</f>
        <v>-1.4436691383914583E-3</v>
      </c>
      <c r="J8">
        <f>'In-Sample'!J146</f>
        <v>10.042884615384615</v>
      </c>
      <c r="K8">
        <f t="shared" si="0"/>
        <v>9.9905962406943178</v>
      </c>
      <c r="L8">
        <f t="shared" si="1"/>
        <v>10.066339726283541</v>
      </c>
      <c r="M8">
        <f t="shared" si="2"/>
        <v>7.574348558922317E-2</v>
      </c>
      <c r="N8">
        <f ca="1">'Out Sample Forecast'!J7</f>
        <v>9.9498009093690332</v>
      </c>
      <c r="O8">
        <f ca="1">'Out Sample Forecast'!K7</f>
        <v>9.89799717588334</v>
      </c>
      <c r="P8">
        <f ca="1">'Out Sample Forecast'!L7</f>
        <v>9.973038623700031</v>
      </c>
      <c r="Q8">
        <f ca="1">'Out Sample Forecast'!M7</f>
        <v>7.5041447816690976E-2</v>
      </c>
      <c r="R8">
        <f ca="1">'Out Sample Forecast (Dividend)'!K7</f>
        <v>9.9381108128875191</v>
      </c>
      <c r="S8">
        <f ca="1">'Out Sample Forecast'!O7</f>
        <v>-6.0466035762419207E-3</v>
      </c>
      <c r="T8">
        <f ca="1">'Out Sample Forecast (Dividend)'!L7</f>
        <v>-4.8645917985357433E-3</v>
      </c>
    </row>
    <row r="9" spans="1:22" x14ac:dyDescent="0.3">
      <c r="A9" s="10" t="s">
        <v>91</v>
      </c>
      <c r="B9">
        <v>9.9</v>
      </c>
      <c r="C9">
        <v>43.01</v>
      </c>
      <c r="D9">
        <v>1E-3</v>
      </c>
      <c r="E9">
        <f>'In-Sample'!E147</f>
        <v>1.0106115059234598E-3</v>
      </c>
      <c r="F9">
        <f>'In-Sample'!F147</f>
        <v>-1.2046689610129291E-3</v>
      </c>
      <c r="G9">
        <f>'In-Sample'!G147</f>
        <v>1.3827188110071628E-2</v>
      </c>
      <c r="H9">
        <f>'In-Sample'!H147</f>
        <v>1.9174859894749718E-3</v>
      </c>
      <c r="I9">
        <f>'In-Sample'!I147</f>
        <v>-1.2065073372728454E-3</v>
      </c>
      <c r="J9">
        <f>'In-Sample'!J147</f>
        <v>10.030576923076922</v>
      </c>
      <c r="K9">
        <f t="shared" si="0"/>
        <v>9.9809007343283778</v>
      </c>
      <c r="L9">
        <f t="shared" si="1"/>
        <v>10.056205285100797</v>
      </c>
      <c r="M9">
        <f t="shared" si="2"/>
        <v>7.5304550772418821E-2</v>
      </c>
      <c r="N9">
        <f ca="1">'Out Sample Forecast'!J8</f>
        <v>9.8896944206114039</v>
      </c>
      <c r="O9">
        <f ca="1">'Out Sample Forecast'!K8</f>
        <v>9.8407159490368077</v>
      </c>
      <c r="P9">
        <f ca="1">'Out Sample Forecast'!L8</f>
        <v>9.9149628244989021</v>
      </c>
      <c r="Q9">
        <f ca="1">'Out Sample Forecast'!M8</f>
        <v>7.4246875462094408E-2</v>
      </c>
      <c r="R9">
        <f ca="1">'Out Sample Forecast (Dividend)'!K8</f>
        <v>9.8781082933947602</v>
      </c>
      <c r="S9">
        <f ca="1">'Out Sample Forecast'!O8</f>
        <v>1.0409676150097415E-3</v>
      </c>
      <c r="T9">
        <f ca="1">'Out Sample Forecast (Dividend)'!L8</f>
        <v>2.2112834954788082E-3</v>
      </c>
    </row>
    <row r="10" spans="1:22" x14ac:dyDescent="0.3">
      <c r="A10" s="10" t="s">
        <v>92</v>
      </c>
      <c r="B10">
        <v>9.8699999999999992</v>
      </c>
      <c r="C10">
        <v>47.13</v>
      </c>
      <c r="D10">
        <v>-3.0000000000000001E-3</v>
      </c>
      <c r="E10">
        <f>'In-Sample'!E148</f>
        <v>-3.0349036951541584E-3</v>
      </c>
      <c r="F10">
        <f>'In-Sample'!F148</f>
        <v>-1.0058837058064861E-3</v>
      </c>
      <c r="G10">
        <f>'In-Sample'!G148</f>
        <v>1.3722748458417961E-2</v>
      </c>
      <c r="H10">
        <f>'In-Sample'!H148</f>
        <v>1.9030028156584761E-3</v>
      </c>
      <c r="I10">
        <f>'In-Sample'!I148</f>
        <v>-1.0076944156646882E-3</v>
      </c>
      <c r="J10">
        <f>'In-Sample'!J148</f>
        <v>10.020384615384614</v>
      </c>
      <c r="K10">
        <f t="shared" si="0"/>
        <v>9.9730245170038909</v>
      </c>
      <c r="L10">
        <f t="shared" si="1"/>
        <v>10.047699178095831</v>
      </c>
      <c r="M10">
        <f t="shared" si="2"/>
        <v>7.4674661091940209E-2</v>
      </c>
      <c r="N10">
        <f ca="1">'Out Sample Forecast'!J9</f>
        <v>9.8999353806062409</v>
      </c>
      <c r="O10">
        <f ca="1">'Out Sample Forecast'!K9</f>
        <v>9.8531445705141358</v>
      </c>
      <c r="P10">
        <f ca="1">'Out Sample Forecast'!L9</f>
        <v>9.9269216107929932</v>
      </c>
      <c r="Q10">
        <f ca="1">'Out Sample Forecast'!M9</f>
        <v>7.3777040278857342E-2</v>
      </c>
      <c r="R10">
        <f ca="1">'Out Sample Forecast (Dividend)'!K9</f>
        <v>9.8882030843109519</v>
      </c>
      <c r="S10">
        <f ca="1">'Out Sample Forecast'!O9</f>
        <v>-3.0329666267722068E-3</v>
      </c>
      <c r="T10">
        <f ca="1">'Out Sample Forecast (Dividend)'!L9</f>
        <v>-1.8442841247165789E-3</v>
      </c>
    </row>
    <row r="11" spans="1:22" x14ac:dyDescent="0.3">
      <c r="A11" s="10">
        <v>45699</v>
      </c>
      <c r="B11">
        <v>9.91</v>
      </c>
      <c r="C11">
        <v>56.07</v>
      </c>
      <c r="D11">
        <v>4.1000000000000003E-3</v>
      </c>
      <c r="E11">
        <f>'In-Sample'!E149</f>
        <v>4.0444948965064438E-3</v>
      </c>
      <c r="F11">
        <f>'In-Sample'!F149</f>
        <v>-1.1121328619534904E-3</v>
      </c>
      <c r="G11">
        <f>'In-Sample'!G149</f>
        <v>1.3660510343812229E-2</v>
      </c>
      <c r="H11">
        <f>'In-Sample'!H149</f>
        <v>1.8943719420623541E-3</v>
      </c>
      <c r="I11">
        <f>'In-Sample'!I149</f>
        <v>-1.1139271844809269E-3</v>
      </c>
      <c r="J11">
        <f>'In-Sample'!J149</f>
        <v>10.009038461538463</v>
      </c>
      <c r="K11">
        <f t="shared" si="0"/>
        <v>9.9608422844619966</v>
      </c>
      <c r="L11">
        <f t="shared" si="1"/>
        <v>10.035086206023516</v>
      </c>
      <c r="M11">
        <f t="shared" si="2"/>
        <v>7.4243921561519599E-2</v>
      </c>
      <c r="N11">
        <f ca="1">'Out Sample Forecast'!J10</f>
        <v>9.8697342189426269</v>
      </c>
      <c r="O11">
        <f ca="1">'Out Sample Forecast'!K10</f>
        <v>9.8222088287723608</v>
      </c>
      <c r="P11">
        <f ca="1">'Out Sample Forecast'!L10</f>
        <v>9.8954194349659534</v>
      </c>
      <c r="Q11">
        <f ca="1">'Out Sample Forecast'!M10</f>
        <v>7.3210606193592653E-2</v>
      </c>
      <c r="R11">
        <f ca="1">'Out Sample Forecast (Dividend)'!K10</f>
        <v>9.858239034228518</v>
      </c>
      <c r="S11">
        <f ca="1">'Out Sample Forecast'!O10</f>
        <v>4.0631464235492652E-3</v>
      </c>
      <c r="T11">
        <f ca="1">'Out Sample Forecast (Dividend)'!L10</f>
        <v>5.2231045178084915E-3</v>
      </c>
    </row>
    <row r="12" spans="1:22" x14ac:dyDescent="0.3">
      <c r="A12" s="10">
        <v>45911</v>
      </c>
      <c r="B12">
        <v>9.93</v>
      </c>
      <c r="C12">
        <v>47.19</v>
      </c>
      <c r="D12">
        <v>2E-3</v>
      </c>
      <c r="E12">
        <f>'In-Sample'!E150</f>
        <v>2.0161297151844956E-3</v>
      </c>
      <c r="F12">
        <f>'In-Sample'!F150</f>
        <v>-8.1522613027415827E-4</v>
      </c>
      <c r="G12">
        <f>'In-Sample'!G150</f>
        <v>1.3555066178580752E-2</v>
      </c>
      <c r="H12">
        <f>'In-Sample'!H150</f>
        <v>1.8797494672761776E-3</v>
      </c>
      <c r="I12">
        <f>'In-Sample'!I150</f>
        <v>-8.1699285930402084E-4</v>
      </c>
      <c r="J12">
        <f>'In-Sample'!J150</f>
        <v>10.000769230769233</v>
      </c>
      <c r="K12">
        <f t="shared" si="0"/>
        <v>9.9558539146132237</v>
      </c>
      <c r="L12">
        <f t="shared" si="1"/>
        <v>10.029485747353286</v>
      </c>
      <c r="M12">
        <f t="shared" si="2"/>
        <v>7.3631832740062464E-2</v>
      </c>
      <c r="N12">
        <f ca="1">'Out Sample Forecast'!J11</f>
        <v>9.9098474331315103</v>
      </c>
      <c r="O12">
        <f ca="1">'Out Sample Forecast'!K11</f>
        <v>9.865340463692851</v>
      </c>
      <c r="P12">
        <f ca="1">'Out Sample Forecast'!L11</f>
        <v>9.9383028740673343</v>
      </c>
      <c r="Q12">
        <f ca="1">'Out Sample Forecast'!M11</f>
        <v>7.2962410374483255E-2</v>
      </c>
      <c r="R12">
        <f ca="1">'Out Sample Forecast (Dividend)'!K11</f>
        <v>9.8981383934951328</v>
      </c>
      <c r="S12">
        <f ca="1">'Out Sample Forecast'!O11</f>
        <v>2.0294629273403253E-3</v>
      </c>
      <c r="T12">
        <f ca="1">'Out Sample Forecast (Dividend)'!L11</f>
        <v>3.2086209974689743E-3</v>
      </c>
    </row>
    <row r="16" spans="1:2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AAAF-7099-4369-85D2-3EF039C5B6A6}">
  <dimension ref="A1:SG23"/>
  <sheetViews>
    <sheetView zoomScale="81" workbookViewId="0">
      <selection activeCell="I6" sqref="I6"/>
    </sheetView>
  </sheetViews>
  <sheetFormatPr defaultRowHeight="14.4" x14ac:dyDescent="0.3"/>
  <cols>
    <col min="1" max="1" width="10.44140625" style="1" bestFit="1" customWidth="1"/>
  </cols>
  <sheetData>
    <row r="1" spans="1:501" x14ac:dyDescent="0.3">
      <c r="A1" t="s">
        <v>0</v>
      </c>
      <c r="B1" t="s">
        <v>1</v>
      </c>
      <c r="C1" t="s">
        <v>98</v>
      </c>
      <c r="D1" t="s">
        <v>3</v>
      </c>
      <c r="E1" s="3" t="s">
        <v>99</v>
      </c>
      <c r="F1" s="3" t="s">
        <v>100</v>
      </c>
      <c r="G1" s="4" t="s">
        <v>101</v>
      </c>
      <c r="H1" s="5" t="s">
        <v>102</v>
      </c>
      <c r="I1" s="6" t="s">
        <v>103</v>
      </c>
      <c r="J1" s="8" t="s">
        <v>105</v>
      </c>
      <c r="K1" s="9" t="s">
        <v>109</v>
      </c>
      <c r="L1" s="9" t="s">
        <v>108</v>
      </c>
      <c r="M1" s="9" t="s">
        <v>110</v>
      </c>
      <c r="O1" t="s">
        <v>106</v>
      </c>
      <c r="P1" t="s">
        <v>107</v>
      </c>
      <c r="Q1">
        <f ca="1">AVERAGE(O3:O11)</f>
        <v>6.7637454102310532E-4</v>
      </c>
    </row>
    <row r="2" spans="1:501" x14ac:dyDescent="0.3">
      <c r="A2" s="1">
        <v>45847</v>
      </c>
      <c r="B2">
        <v>9.8699999999999992</v>
      </c>
      <c r="C2">
        <v>56.57</v>
      </c>
      <c r="D2">
        <v>-1.2E-2</v>
      </c>
      <c r="E2">
        <f>'In-Sample'!E141</f>
        <v>-1.2084739215071999E-2</v>
      </c>
      <c r="F2">
        <f>'In-Sample'!F141</f>
        <v>-1.4446275090020905E-3</v>
      </c>
      <c r="G2">
        <f>'In-Sample'!G141</f>
        <v>1.3827991854618553E-2</v>
      </c>
      <c r="H2">
        <f>'In-Sample'!H141</f>
        <v>1.9175974487894453E-3</v>
      </c>
      <c r="I2">
        <f>'In-Sample'!I141</f>
        <v>-1.4464660989898924E-3</v>
      </c>
    </row>
    <row r="3" spans="1:501" x14ac:dyDescent="0.3">
      <c r="A3" s="1" t="s">
        <v>88</v>
      </c>
      <c r="B3">
        <v>9.8000000000000007</v>
      </c>
      <c r="C3">
        <v>33.54</v>
      </c>
      <c r="D3">
        <v>-7.1000000000000004E-3</v>
      </c>
      <c r="E3">
        <f>'In-Sample'!E142</f>
        <v>-7.1174677688638785E-3</v>
      </c>
      <c r="F3">
        <f>'In-Sample'!F142</f>
        <v>-1.5090695277210678E-3</v>
      </c>
      <c r="G3">
        <f>'In-Sample'!G142</f>
        <v>1.3846819876785642E-2</v>
      </c>
      <c r="H3">
        <f>'In-Sample'!H142</f>
        <v>1.9202084256870998E-3</v>
      </c>
      <c r="I3">
        <f>'In-Sample'!I142</f>
        <v>-1.5109131279201077E-3</v>
      </c>
      <c r="J3">
        <f t="shared" ref="J3:J11" ca="1" si="0">AVERAGE(B15:SG15)</f>
        <v>9.869825709302317</v>
      </c>
      <c r="K3">
        <f t="shared" ref="K3:K11" ca="1" si="1">J3*EXP(I3-1.96*H3)</f>
        <v>9.817904151058455</v>
      </c>
      <c r="L3">
        <f t="shared" ref="L3:L11" ca="1" si="2">$J3*EXP(I3+1.96*H3)</f>
        <v>9.8920844818466751</v>
      </c>
      <c r="M3">
        <f ca="1">L3-K3</f>
        <v>7.4180330788220061E-2</v>
      </c>
      <c r="O3">
        <f t="shared" ref="O3:O11" ca="1" si="3">(B3-J3)/B3</f>
        <v>-7.1250723777873714E-3</v>
      </c>
    </row>
    <row r="4" spans="1:501" x14ac:dyDescent="0.3">
      <c r="A4" s="1" t="s">
        <v>89</v>
      </c>
      <c r="B4">
        <v>9.89</v>
      </c>
      <c r="C4">
        <v>50.26</v>
      </c>
      <c r="D4">
        <v>9.1999999999999998E-3</v>
      </c>
      <c r="E4">
        <f>'In-Sample'!E143</f>
        <v>9.1417599580945093E-3</v>
      </c>
      <c r="F4">
        <f>'In-Sample'!F143</f>
        <v>-1.1509829140164862E-3</v>
      </c>
      <c r="G4">
        <f>'In-Sample'!G143</f>
        <v>1.3877412993345967E-2</v>
      </c>
      <c r="H4">
        <f>'In-Sample'!H143</f>
        <v>1.9244509276268881E-3</v>
      </c>
      <c r="I4">
        <f>'In-Sample'!I143</f>
        <v>-1.1528346697029083E-3</v>
      </c>
      <c r="J4">
        <f t="shared" ca="1" si="0"/>
        <v>9.7996146455954101</v>
      </c>
      <c r="K4">
        <f t="shared" ca="1" si="1"/>
        <v>9.7514725515850209</v>
      </c>
      <c r="L4">
        <f t="shared" ca="1" si="2"/>
        <v>9.8253143501904869</v>
      </c>
      <c r="M4">
        <f t="shared" ref="M4:M11" ca="1" si="4">L4-K4</f>
        <v>7.3841798605466025E-2</v>
      </c>
      <c r="O4">
        <f t="shared" ca="1" si="3"/>
        <v>9.1390651571881185E-3</v>
      </c>
    </row>
    <row r="5" spans="1:501" x14ac:dyDescent="0.3">
      <c r="A5" s="1" t="s">
        <v>90</v>
      </c>
      <c r="B5">
        <v>10</v>
      </c>
      <c r="C5">
        <v>54.95</v>
      </c>
      <c r="D5">
        <v>1.11E-2</v>
      </c>
      <c r="E5">
        <f>'In-Sample'!E144</f>
        <v>1.1060947359424976E-2</v>
      </c>
      <c r="F5">
        <f>'In-Sample'!F144</f>
        <v>-9.3827238787369831E-4</v>
      </c>
      <c r="G5">
        <f>'In-Sample'!G144</f>
        <v>1.3979793443020059E-2</v>
      </c>
      <c r="H5">
        <f>'In-Sample'!H144</f>
        <v>1.9386485415078497E-3</v>
      </c>
      <c r="I5">
        <f>'In-Sample'!I144</f>
        <v>-9.4015156695744352E-4</v>
      </c>
      <c r="J5">
        <f t="shared" ca="1" si="0"/>
        <v>9.8897738547130079</v>
      </c>
      <c r="K5">
        <f t="shared" ca="1" si="1"/>
        <v>9.8430082086962507</v>
      </c>
      <c r="L5">
        <f t="shared" ca="1" si="2"/>
        <v>9.918095122261839</v>
      </c>
      <c r="M5">
        <f t="shared" ca="1" si="4"/>
        <v>7.5086913565588276E-2</v>
      </c>
      <c r="O5">
        <f t="shared" ca="1" si="3"/>
        <v>1.1022614528699215E-2</v>
      </c>
    </row>
    <row r="6" spans="1:501" x14ac:dyDescent="0.3">
      <c r="A6" s="1">
        <v>45787</v>
      </c>
      <c r="B6">
        <v>9.9499999999999993</v>
      </c>
      <c r="C6">
        <v>37.35</v>
      </c>
      <c r="D6">
        <v>-5.0000000000000001E-3</v>
      </c>
      <c r="E6">
        <f>'In-Sample'!E145</f>
        <v>-5.0125418235443982E-3</v>
      </c>
      <c r="F6">
        <f>'In-Sample'!F145</f>
        <v>-1.1442447520695097E-3</v>
      </c>
      <c r="G6">
        <f>'In-Sample'!G145</f>
        <v>1.3958986886799286E-2</v>
      </c>
      <c r="H6">
        <f>'In-Sample'!H145</f>
        <v>1.9357631913032411E-3</v>
      </c>
      <c r="I6">
        <f>'In-Sample'!I145</f>
        <v>-1.1461183416359121E-3</v>
      </c>
      <c r="J6">
        <f t="shared" ca="1" si="0"/>
        <v>9.9997822698576826</v>
      </c>
      <c r="K6">
        <f t="shared" ca="1" si="1"/>
        <v>9.9505030287531291</v>
      </c>
      <c r="L6">
        <f t="shared" ca="1" si="2"/>
        <v>10.026296557572467</v>
      </c>
      <c r="M6">
        <f t="shared" ca="1" si="4"/>
        <v>7.5793528819337652E-2</v>
      </c>
      <c r="O6">
        <f t="shared" ca="1" si="3"/>
        <v>-5.0032432017772166E-3</v>
      </c>
    </row>
    <row r="7" spans="1:501" x14ac:dyDescent="0.3">
      <c r="A7" s="1">
        <v>46001</v>
      </c>
      <c r="B7">
        <v>9.89</v>
      </c>
      <c r="C7">
        <v>53.41</v>
      </c>
      <c r="D7">
        <v>-6.0000000000000001E-3</v>
      </c>
      <c r="E7">
        <f>'In-Sample'!E146</f>
        <v>-6.0484055358804812E-3</v>
      </c>
      <c r="F7">
        <f>'In-Sample'!F146</f>
        <v>-1.4418129442899633E-3</v>
      </c>
      <c r="G7">
        <f>'In-Sample'!G146</f>
        <v>1.3894034207366939E-2</v>
      </c>
      <c r="H7">
        <f>'In-Sample'!H146</f>
        <v>1.9267558752966219E-3</v>
      </c>
      <c r="I7">
        <f>'In-Sample'!I146</f>
        <v>-1.4436691383914583E-3</v>
      </c>
      <c r="J7">
        <f t="shared" ca="1" si="0"/>
        <v>9.9498009093690332</v>
      </c>
      <c r="K7">
        <f t="shared" ca="1" si="1"/>
        <v>9.89799717588334</v>
      </c>
      <c r="L7">
        <f t="shared" ca="1" si="2"/>
        <v>9.973038623700031</v>
      </c>
      <c r="M7">
        <f t="shared" ca="1" si="4"/>
        <v>7.5041447816690976E-2</v>
      </c>
      <c r="O7">
        <f t="shared" ca="1" si="3"/>
        <v>-6.0466035762419207E-3</v>
      </c>
    </row>
    <row r="8" spans="1:501" x14ac:dyDescent="0.3">
      <c r="A8" s="1" t="s">
        <v>91</v>
      </c>
      <c r="B8">
        <v>9.9</v>
      </c>
      <c r="C8">
        <v>43.01</v>
      </c>
      <c r="D8">
        <v>1E-3</v>
      </c>
      <c r="E8">
        <f>'In-Sample'!E147</f>
        <v>1.0106115059234598E-3</v>
      </c>
      <c r="F8">
        <f>'In-Sample'!F147</f>
        <v>-1.2046689610129291E-3</v>
      </c>
      <c r="G8">
        <f>'In-Sample'!G147</f>
        <v>1.3827188110071628E-2</v>
      </c>
      <c r="H8">
        <f>'In-Sample'!H147</f>
        <v>1.9174859894749718E-3</v>
      </c>
      <c r="I8">
        <f>'In-Sample'!I147</f>
        <v>-1.2065073372728454E-3</v>
      </c>
      <c r="J8">
        <f t="shared" ca="1" si="0"/>
        <v>9.8896944206114039</v>
      </c>
      <c r="K8">
        <f t="shared" ca="1" si="1"/>
        <v>9.8407159490368077</v>
      </c>
      <c r="L8">
        <f t="shared" ca="1" si="2"/>
        <v>9.9149628244989021</v>
      </c>
      <c r="M8">
        <f t="shared" ca="1" si="4"/>
        <v>7.4246875462094408E-2</v>
      </c>
      <c r="O8">
        <f t="shared" ca="1" si="3"/>
        <v>1.0409676150097415E-3</v>
      </c>
    </row>
    <row r="9" spans="1:501" x14ac:dyDescent="0.3">
      <c r="A9" s="1" t="s">
        <v>92</v>
      </c>
      <c r="B9">
        <v>9.8699999999999992</v>
      </c>
      <c r="C9">
        <v>47.13</v>
      </c>
      <c r="D9">
        <v>-3.0000000000000001E-3</v>
      </c>
      <c r="E9">
        <f>'In-Sample'!E148</f>
        <v>-3.0349036951541584E-3</v>
      </c>
      <c r="F9">
        <f>'In-Sample'!F148</f>
        <v>-1.0058837058064861E-3</v>
      </c>
      <c r="G9">
        <f>'In-Sample'!G148</f>
        <v>1.3722748458417961E-2</v>
      </c>
      <c r="H9">
        <f>'In-Sample'!H148</f>
        <v>1.9030028156584761E-3</v>
      </c>
      <c r="I9">
        <f>'In-Sample'!I148</f>
        <v>-1.0076944156646882E-3</v>
      </c>
      <c r="J9">
        <f t="shared" ca="1" si="0"/>
        <v>9.8999353806062409</v>
      </c>
      <c r="K9">
        <f t="shared" ca="1" si="1"/>
        <v>9.8531445705141358</v>
      </c>
      <c r="L9">
        <f t="shared" ca="1" si="2"/>
        <v>9.9269216107929932</v>
      </c>
      <c r="M9">
        <f t="shared" ca="1" si="4"/>
        <v>7.3777040278857342E-2</v>
      </c>
      <c r="O9">
        <f t="shared" ca="1" si="3"/>
        <v>-3.0329666267722068E-3</v>
      </c>
    </row>
    <row r="10" spans="1:501" x14ac:dyDescent="0.3">
      <c r="A10" s="1">
        <v>45699</v>
      </c>
      <c r="B10">
        <v>9.91</v>
      </c>
      <c r="C10">
        <v>56.07</v>
      </c>
      <c r="D10">
        <v>4.1000000000000003E-3</v>
      </c>
      <c r="E10">
        <f>'In-Sample'!E149</f>
        <v>4.0444948965064438E-3</v>
      </c>
      <c r="F10">
        <f>'In-Sample'!F149</f>
        <v>-1.1121328619534904E-3</v>
      </c>
      <c r="G10">
        <f>'In-Sample'!G149</f>
        <v>1.3660510343812229E-2</v>
      </c>
      <c r="H10">
        <f>'In-Sample'!H149</f>
        <v>1.8943719420623541E-3</v>
      </c>
      <c r="I10">
        <f>'In-Sample'!I149</f>
        <v>-1.1139271844809269E-3</v>
      </c>
      <c r="J10">
        <f t="shared" ca="1" si="0"/>
        <v>9.8697342189426269</v>
      </c>
      <c r="K10">
        <f t="shared" ca="1" si="1"/>
        <v>9.8222088287723608</v>
      </c>
      <c r="L10">
        <f t="shared" ca="1" si="2"/>
        <v>9.8954194349659534</v>
      </c>
      <c r="M10">
        <f t="shared" ca="1" si="4"/>
        <v>7.3210606193592653E-2</v>
      </c>
      <c r="O10">
        <f t="shared" ca="1" si="3"/>
        <v>4.0631464235492652E-3</v>
      </c>
    </row>
    <row r="11" spans="1:501" x14ac:dyDescent="0.3">
      <c r="A11" s="1">
        <v>45911</v>
      </c>
      <c r="B11">
        <v>9.93</v>
      </c>
      <c r="C11">
        <v>47.19</v>
      </c>
      <c r="D11">
        <v>2E-3</v>
      </c>
      <c r="E11">
        <f>'In-Sample'!E150</f>
        <v>2.0161297151844956E-3</v>
      </c>
      <c r="F11">
        <f>'In-Sample'!F150</f>
        <v>-8.1522613027415827E-4</v>
      </c>
      <c r="G11">
        <f>'In-Sample'!G150</f>
        <v>1.3555066178580752E-2</v>
      </c>
      <c r="H11">
        <f>'In-Sample'!H150</f>
        <v>1.8797494672761776E-3</v>
      </c>
      <c r="I11">
        <f>'In-Sample'!I150</f>
        <v>-8.1699285930402084E-4</v>
      </c>
      <c r="J11">
        <f t="shared" ca="1" si="0"/>
        <v>9.9098474331315103</v>
      </c>
      <c r="K11">
        <f t="shared" ca="1" si="1"/>
        <v>9.865340463692851</v>
      </c>
      <c r="L11">
        <f t="shared" ca="1" si="2"/>
        <v>9.9383028740673343</v>
      </c>
      <c r="M11">
        <f t="shared" ca="1" si="4"/>
        <v>7.2962410374483255E-2</v>
      </c>
      <c r="O11">
        <f t="shared" ca="1" si="3"/>
        <v>2.0294629273403253E-3</v>
      </c>
    </row>
    <row r="13" spans="1:501" x14ac:dyDescent="0.3">
      <c r="A13" s="1" t="s">
        <v>104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  <c r="AF13">
        <v>31</v>
      </c>
      <c r="AG13">
        <v>32</v>
      </c>
      <c r="AH13">
        <v>33</v>
      </c>
      <c r="AI13">
        <v>34</v>
      </c>
      <c r="AJ13">
        <v>35</v>
      </c>
      <c r="AK13">
        <v>36</v>
      </c>
      <c r="AL13">
        <v>37</v>
      </c>
      <c r="AM13">
        <v>38</v>
      </c>
      <c r="AN13">
        <v>39</v>
      </c>
      <c r="AO13">
        <v>40</v>
      </c>
      <c r="AP13">
        <v>41</v>
      </c>
      <c r="AQ13">
        <v>42</v>
      </c>
      <c r="AR13">
        <v>43</v>
      </c>
      <c r="AS13">
        <v>44</v>
      </c>
      <c r="AT13">
        <v>45</v>
      </c>
      <c r="AU13">
        <v>46</v>
      </c>
      <c r="AV13">
        <v>47</v>
      </c>
      <c r="AW13">
        <v>48</v>
      </c>
      <c r="AX13">
        <v>49</v>
      </c>
      <c r="AY13">
        <v>50</v>
      </c>
      <c r="AZ13">
        <v>51</v>
      </c>
      <c r="BA13">
        <v>52</v>
      </c>
      <c r="BB13">
        <v>53</v>
      </c>
      <c r="BC13">
        <v>54</v>
      </c>
      <c r="BD13">
        <v>55</v>
      </c>
      <c r="BE13">
        <v>56</v>
      </c>
      <c r="BF13">
        <v>57</v>
      </c>
      <c r="BG13">
        <v>58</v>
      </c>
      <c r="BH13">
        <v>59</v>
      </c>
      <c r="BI13">
        <v>60</v>
      </c>
      <c r="BJ13">
        <v>61</v>
      </c>
      <c r="BK13">
        <v>62</v>
      </c>
      <c r="BL13">
        <v>63</v>
      </c>
      <c r="BM13">
        <v>64</v>
      </c>
      <c r="BN13">
        <v>65</v>
      </c>
      <c r="BO13">
        <v>66</v>
      </c>
      <c r="BP13">
        <v>67</v>
      </c>
      <c r="BQ13">
        <v>68</v>
      </c>
      <c r="BR13">
        <v>69</v>
      </c>
      <c r="BS13">
        <v>70</v>
      </c>
      <c r="BT13">
        <v>71</v>
      </c>
      <c r="BU13">
        <v>72</v>
      </c>
      <c r="BV13">
        <v>73</v>
      </c>
      <c r="BW13">
        <v>74</v>
      </c>
      <c r="BX13">
        <v>75</v>
      </c>
      <c r="BY13">
        <v>76</v>
      </c>
      <c r="BZ13">
        <v>77</v>
      </c>
      <c r="CA13">
        <v>78</v>
      </c>
      <c r="CB13">
        <v>79</v>
      </c>
      <c r="CC13">
        <v>80</v>
      </c>
      <c r="CD13">
        <v>81</v>
      </c>
      <c r="CE13">
        <v>82</v>
      </c>
      <c r="CF13">
        <v>83</v>
      </c>
      <c r="CG13">
        <v>84</v>
      </c>
      <c r="CH13">
        <v>85</v>
      </c>
      <c r="CI13">
        <v>86</v>
      </c>
      <c r="CJ13">
        <v>87</v>
      </c>
      <c r="CK13">
        <v>88</v>
      </c>
      <c r="CL13">
        <v>89</v>
      </c>
      <c r="CM13">
        <v>90</v>
      </c>
      <c r="CN13">
        <v>91</v>
      </c>
      <c r="CO13">
        <v>92</v>
      </c>
      <c r="CP13">
        <v>93</v>
      </c>
      <c r="CQ13">
        <v>94</v>
      </c>
      <c r="CR13">
        <v>95</v>
      </c>
      <c r="CS13">
        <v>96</v>
      </c>
      <c r="CT13">
        <v>97</v>
      </c>
      <c r="CU13">
        <v>98</v>
      </c>
      <c r="CV13">
        <v>99</v>
      </c>
      <c r="CW13">
        <v>100</v>
      </c>
      <c r="CX13">
        <v>101</v>
      </c>
      <c r="CY13">
        <v>102</v>
      </c>
      <c r="CZ13">
        <v>103</v>
      </c>
      <c r="DA13">
        <v>104</v>
      </c>
      <c r="DB13">
        <v>105</v>
      </c>
      <c r="DC13">
        <v>106</v>
      </c>
      <c r="DD13">
        <v>107</v>
      </c>
      <c r="DE13">
        <v>108</v>
      </c>
      <c r="DF13">
        <v>109</v>
      </c>
      <c r="DG13">
        <v>110</v>
      </c>
      <c r="DH13">
        <v>111</v>
      </c>
      <c r="DI13">
        <v>112</v>
      </c>
      <c r="DJ13">
        <v>113</v>
      </c>
      <c r="DK13">
        <v>114</v>
      </c>
      <c r="DL13">
        <v>115</v>
      </c>
      <c r="DM13">
        <v>116</v>
      </c>
      <c r="DN13">
        <v>117</v>
      </c>
      <c r="DO13">
        <v>118</v>
      </c>
      <c r="DP13">
        <v>119</v>
      </c>
      <c r="DQ13">
        <v>120</v>
      </c>
      <c r="DR13">
        <v>121</v>
      </c>
      <c r="DS13">
        <v>122</v>
      </c>
      <c r="DT13">
        <v>123</v>
      </c>
      <c r="DU13">
        <v>124</v>
      </c>
      <c r="DV13">
        <v>125</v>
      </c>
      <c r="DW13">
        <v>126</v>
      </c>
      <c r="DX13">
        <v>127</v>
      </c>
      <c r="DY13">
        <v>128</v>
      </c>
      <c r="DZ13">
        <v>129</v>
      </c>
      <c r="EA13">
        <v>130</v>
      </c>
      <c r="EB13">
        <v>131</v>
      </c>
      <c r="EC13">
        <v>132</v>
      </c>
      <c r="ED13">
        <v>133</v>
      </c>
      <c r="EE13">
        <v>134</v>
      </c>
      <c r="EF13">
        <v>135</v>
      </c>
      <c r="EG13">
        <v>136</v>
      </c>
      <c r="EH13">
        <v>137</v>
      </c>
      <c r="EI13">
        <v>138</v>
      </c>
      <c r="EJ13">
        <v>139</v>
      </c>
      <c r="EK13">
        <v>140</v>
      </c>
      <c r="EL13">
        <v>141</v>
      </c>
      <c r="EM13">
        <v>142</v>
      </c>
      <c r="EN13">
        <v>143</v>
      </c>
      <c r="EO13">
        <v>144</v>
      </c>
      <c r="EP13">
        <v>145</v>
      </c>
      <c r="EQ13">
        <v>146</v>
      </c>
      <c r="ER13">
        <v>147</v>
      </c>
      <c r="ES13">
        <v>148</v>
      </c>
      <c r="ET13">
        <v>149</v>
      </c>
      <c r="EU13">
        <v>150</v>
      </c>
      <c r="EV13">
        <v>151</v>
      </c>
      <c r="EW13">
        <v>152</v>
      </c>
      <c r="EX13">
        <v>153</v>
      </c>
      <c r="EY13">
        <v>154</v>
      </c>
      <c r="EZ13">
        <v>155</v>
      </c>
      <c r="FA13">
        <v>156</v>
      </c>
      <c r="FB13">
        <v>157</v>
      </c>
      <c r="FC13">
        <v>158</v>
      </c>
      <c r="FD13">
        <v>159</v>
      </c>
      <c r="FE13">
        <v>160</v>
      </c>
      <c r="FF13">
        <v>161</v>
      </c>
      <c r="FG13">
        <v>162</v>
      </c>
      <c r="FH13">
        <v>163</v>
      </c>
      <c r="FI13">
        <v>164</v>
      </c>
      <c r="FJ13">
        <v>165</v>
      </c>
      <c r="FK13">
        <v>166</v>
      </c>
      <c r="FL13">
        <v>167</v>
      </c>
      <c r="FM13">
        <v>168</v>
      </c>
      <c r="FN13">
        <v>169</v>
      </c>
      <c r="FO13">
        <v>170</v>
      </c>
      <c r="FP13">
        <v>171</v>
      </c>
      <c r="FQ13">
        <v>172</v>
      </c>
      <c r="FR13">
        <v>173</v>
      </c>
      <c r="FS13">
        <v>174</v>
      </c>
      <c r="FT13">
        <v>175</v>
      </c>
      <c r="FU13">
        <v>176</v>
      </c>
      <c r="FV13">
        <v>177</v>
      </c>
      <c r="FW13">
        <v>178</v>
      </c>
      <c r="FX13">
        <v>179</v>
      </c>
      <c r="FY13">
        <v>180</v>
      </c>
      <c r="FZ13">
        <v>181</v>
      </c>
      <c r="GA13">
        <v>182</v>
      </c>
      <c r="GB13">
        <v>183</v>
      </c>
      <c r="GC13">
        <v>184</v>
      </c>
      <c r="GD13">
        <v>185</v>
      </c>
      <c r="GE13">
        <v>186</v>
      </c>
      <c r="GF13">
        <v>187</v>
      </c>
      <c r="GG13">
        <v>188</v>
      </c>
      <c r="GH13">
        <v>189</v>
      </c>
      <c r="GI13">
        <v>190</v>
      </c>
      <c r="GJ13">
        <v>191</v>
      </c>
      <c r="GK13">
        <v>192</v>
      </c>
      <c r="GL13">
        <v>193</v>
      </c>
      <c r="GM13">
        <v>194</v>
      </c>
      <c r="GN13">
        <v>195</v>
      </c>
      <c r="GO13">
        <v>196</v>
      </c>
      <c r="GP13">
        <v>197</v>
      </c>
      <c r="GQ13">
        <v>198</v>
      </c>
      <c r="GR13">
        <v>199</v>
      </c>
      <c r="GS13">
        <v>200</v>
      </c>
      <c r="GT13">
        <v>201</v>
      </c>
      <c r="GU13">
        <v>202</v>
      </c>
      <c r="GV13">
        <v>203</v>
      </c>
      <c r="GW13">
        <v>204</v>
      </c>
      <c r="GX13">
        <v>205</v>
      </c>
      <c r="GY13">
        <v>206</v>
      </c>
      <c r="GZ13">
        <v>207</v>
      </c>
      <c r="HA13">
        <v>208</v>
      </c>
      <c r="HB13">
        <v>209</v>
      </c>
      <c r="HC13">
        <v>210</v>
      </c>
      <c r="HD13">
        <v>211</v>
      </c>
      <c r="HE13">
        <v>212</v>
      </c>
      <c r="HF13">
        <v>213</v>
      </c>
      <c r="HG13">
        <v>214</v>
      </c>
      <c r="HH13">
        <v>215</v>
      </c>
      <c r="HI13">
        <v>216</v>
      </c>
      <c r="HJ13">
        <v>217</v>
      </c>
      <c r="HK13">
        <v>218</v>
      </c>
      <c r="HL13">
        <v>219</v>
      </c>
      <c r="HM13">
        <v>220</v>
      </c>
      <c r="HN13">
        <v>221</v>
      </c>
      <c r="HO13">
        <v>222</v>
      </c>
      <c r="HP13">
        <v>223</v>
      </c>
      <c r="HQ13">
        <v>224</v>
      </c>
      <c r="HR13">
        <v>225</v>
      </c>
      <c r="HS13">
        <v>226</v>
      </c>
      <c r="HT13">
        <v>227</v>
      </c>
      <c r="HU13">
        <v>228</v>
      </c>
      <c r="HV13">
        <v>229</v>
      </c>
      <c r="HW13">
        <v>230</v>
      </c>
      <c r="HX13">
        <v>231</v>
      </c>
      <c r="HY13">
        <v>232</v>
      </c>
      <c r="HZ13">
        <v>233</v>
      </c>
      <c r="IA13">
        <v>234</v>
      </c>
      <c r="IB13">
        <v>235</v>
      </c>
      <c r="IC13">
        <v>236</v>
      </c>
      <c r="ID13">
        <v>237</v>
      </c>
      <c r="IE13">
        <v>238</v>
      </c>
      <c r="IF13">
        <v>239</v>
      </c>
      <c r="IG13">
        <v>240</v>
      </c>
      <c r="IH13">
        <v>241</v>
      </c>
      <c r="II13">
        <v>242</v>
      </c>
      <c r="IJ13">
        <v>243</v>
      </c>
      <c r="IK13">
        <v>244</v>
      </c>
      <c r="IL13">
        <v>245</v>
      </c>
      <c r="IM13">
        <v>246</v>
      </c>
      <c r="IN13">
        <v>247</v>
      </c>
      <c r="IO13">
        <v>248</v>
      </c>
      <c r="IP13">
        <v>249</v>
      </c>
      <c r="IQ13">
        <v>250</v>
      </c>
      <c r="IR13">
        <v>251</v>
      </c>
      <c r="IS13">
        <v>252</v>
      </c>
      <c r="IT13">
        <v>253</v>
      </c>
      <c r="IU13">
        <v>254</v>
      </c>
      <c r="IV13">
        <v>255</v>
      </c>
      <c r="IW13">
        <v>256</v>
      </c>
      <c r="IX13">
        <v>257</v>
      </c>
      <c r="IY13">
        <v>258</v>
      </c>
      <c r="IZ13">
        <v>259</v>
      </c>
      <c r="JA13">
        <v>260</v>
      </c>
      <c r="JB13">
        <v>261</v>
      </c>
      <c r="JC13">
        <v>262</v>
      </c>
      <c r="JD13">
        <v>263</v>
      </c>
      <c r="JE13">
        <v>264</v>
      </c>
      <c r="JF13">
        <v>265</v>
      </c>
      <c r="JG13">
        <v>266</v>
      </c>
      <c r="JH13">
        <v>267</v>
      </c>
      <c r="JI13">
        <v>268</v>
      </c>
      <c r="JJ13">
        <v>269</v>
      </c>
      <c r="JK13">
        <v>270</v>
      </c>
      <c r="JL13">
        <v>271</v>
      </c>
      <c r="JM13">
        <v>272</v>
      </c>
      <c r="JN13">
        <v>273</v>
      </c>
      <c r="JO13">
        <v>274</v>
      </c>
      <c r="JP13">
        <v>275</v>
      </c>
      <c r="JQ13">
        <v>276</v>
      </c>
      <c r="JR13">
        <v>277</v>
      </c>
      <c r="JS13">
        <v>278</v>
      </c>
      <c r="JT13">
        <v>279</v>
      </c>
      <c r="JU13">
        <v>280</v>
      </c>
      <c r="JV13">
        <v>281</v>
      </c>
      <c r="JW13">
        <v>282</v>
      </c>
      <c r="JX13">
        <v>283</v>
      </c>
      <c r="JY13">
        <v>284</v>
      </c>
      <c r="JZ13">
        <v>285</v>
      </c>
      <c r="KA13">
        <v>286</v>
      </c>
      <c r="KB13">
        <v>287</v>
      </c>
      <c r="KC13">
        <v>288</v>
      </c>
      <c r="KD13">
        <v>289</v>
      </c>
      <c r="KE13">
        <v>290</v>
      </c>
      <c r="KF13">
        <v>291</v>
      </c>
      <c r="KG13">
        <v>292</v>
      </c>
      <c r="KH13">
        <v>293</v>
      </c>
      <c r="KI13">
        <v>294</v>
      </c>
      <c r="KJ13">
        <v>295</v>
      </c>
      <c r="KK13">
        <v>296</v>
      </c>
      <c r="KL13">
        <v>297</v>
      </c>
      <c r="KM13">
        <v>298</v>
      </c>
      <c r="KN13">
        <v>299</v>
      </c>
      <c r="KO13">
        <v>300</v>
      </c>
      <c r="KP13">
        <v>301</v>
      </c>
      <c r="KQ13">
        <v>302</v>
      </c>
      <c r="KR13">
        <v>303</v>
      </c>
      <c r="KS13">
        <v>304</v>
      </c>
      <c r="KT13">
        <v>305</v>
      </c>
      <c r="KU13">
        <v>306</v>
      </c>
      <c r="KV13">
        <v>307</v>
      </c>
      <c r="KW13">
        <v>308</v>
      </c>
      <c r="KX13">
        <v>309</v>
      </c>
      <c r="KY13">
        <v>310</v>
      </c>
      <c r="KZ13">
        <v>311</v>
      </c>
      <c r="LA13">
        <v>312</v>
      </c>
      <c r="LB13">
        <v>313</v>
      </c>
      <c r="LC13">
        <v>314</v>
      </c>
      <c r="LD13">
        <v>315</v>
      </c>
      <c r="LE13">
        <v>316</v>
      </c>
      <c r="LF13">
        <v>317</v>
      </c>
      <c r="LG13">
        <v>318</v>
      </c>
      <c r="LH13">
        <v>319</v>
      </c>
      <c r="LI13">
        <v>320</v>
      </c>
      <c r="LJ13">
        <v>321</v>
      </c>
      <c r="LK13">
        <v>322</v>
      </c>
      <c r="LL13">
        <v>323</v>
      </c>
      <c r="LM13">
        <v>324</v>
      </c>
      <c r="LN13">
        <v>325</v>
      </c>
      <c r="LO13">
        <v>326</v>
      </c>
      <c r="LP13">
        <v>327</v>
      </c>
      <c r="LQ13">
        <v>328</v>
      </c>
      <c r="LR13">
        <v>329</v>
      </c>
      <c r="LS13">
        <v>330</v>
      </c>
      <c r="LT13">
        <v>331</v>
      </c>
      <c r="LU13">
        <v>332</v>
      </c>
      <c r="LV13">
        <v>333</v>
      </c>
      <c r="LW13">
        <v>334</v>
      </c>
      <c r="LX13">
        <v>335</v>
      </c>
      <c r="LY13">
        <v>336</v>
      </c>
      <c r="LZ13">
        <v>337</v>
      </c>
      <c r="MA13">
        <v>338</v>
      </c>
      <c r="MB13">
        <v>339</v>
      </c>
      <c r="MC13">
        <v>340</v>
      </c>
      <c r="MD13">
        <v>341</v>
      </c>
      <c r="ME13">
        <v>342</v>
      </c>
      <c r="MF13">
        <v>343</v>
      </c>
      <c r="MG13">
        <v>344</v>
      </c>
      <c r="MH13">
        <v>345</v>
      </c>
      <c r="MI13">
        <v>346</v>
      </c>
      <c r="MJ13">
        <v>347</v>
      </c>
      <c r="MK13">
        <v>348</v>
      </c>
      <c r="ML13">
        <v>349</v>
      </c>
      <c r="MM13">
        <v>350</v>
      </c>
      <c r="MN13">
        <v>351</v>
      </c>
      <c r="MO13">
        <v>352</v>
      </c>
      <c r="MP13">
        <v>353</v>
      </c>
      <c r="MQ13">
        <v>354</v>
      </c>
      <c r="MR13">
        <v>355</v>
      </c>
      <c r="MS13">
        <v>356</v>
      </c>
      <c r="MT13">
        <v>357</v>
      </c>
      <c r="MU13">
        <v>358</v>
      </c>
      <c r="MV13">
        <v>359</v>
      </c>
      <c r="MW13">
        <v>360</v>
      </c>
      <c r="MX13">
        <v>361</v>
      </c>
      <c r="MY13">
        <v>362</v>
      </c>
      <c r="MZ13">
        <v>363</v>
      </c>
      <c r="NA13">
        <v>364</v>
      </c>
      <c r="NB13">
        <v>365</v>
      </c>
      <c r="NC13">
        <v>366</v>
      </c>
      <c r="ND13">
        <v>367</v>
      </c>
      <c r="NE13">
        <v>368</v>
      </c>
      <c r="NF13">
        <v>369</v>
      </c>
      <c r="NG13">
        <v>370</v>
      </c>
      <c r="NH13">
        <v>371</v>
      </c>
      <c r="NI13">
        <v>372</v>
      </c>
      <c r="NJ13">
        <v>373</v>
      </c>
      <c r="NK13">
        <v>374</v>
      </c>
      <c r="NL13">
        <v>375</v>
      </c>
      <c r="NM13">
        <v>376</v>
      </c>
      <c r="NN13">
        <v>377</v>
      </c>
      <c r="NO13">
        <v>378</v>
      </c>
      <c r="NP13">
        <v>379</v>
      </c>
      <c r="NQ13">
        <v>380</v>
      </c>
      <c r="NR13">
        <v>381</v>
      </c>
      <c r="NS13">
        <v>382</v>
      </c>
      <c r="NT13">
        <v>383</v>
      </c>
      <c r="NU13">
        <v>384</v>
      </c>
      <c r="NV13">
        <v>385</v>
      </c>
      <c r="NW13">
        <v>386</v>
      </c>
      <c r="NX13">
        <v>387</v>
      </c>
      <c r="NY13">
        <v>388</v>
      </c>
      <c r="NZ13">
        <v>389</v>
      </c>
      <c r="OA13">
        <v>390</v>
      </c>
      <c r="OB13">
        <v>391</v>
      </c>
      <c r="OC13">
        <v>392</v>
      </c>
      <c r="OD13">
        <v>393</v>
      </c>
      <c r="OE13">
        <v>394</v>
      </c>
      <c r="OF13">
        <v>395</v>
      </c>
      <c r="OG13">
        <v>396</v>
      </c>
      <c r="OH13">
        <v>397</v>
      </c>
      <c r="OI13">
        <v>398</v>
      </c>
      <c r="OJ13">
        <v>399</v>
      </c>
      <c r="OK13">
        <v>400</v>
      </c>
      <c r="OL13">
        <v>401</v>
      </c>
      <c r="OM13">
        <v>402</v>
      </c>
      <c r="ON13">
        <v>403</v>
      </c>
      <c r="OO13">
        <v>404</v>
      </c>
      <c r="OP13">
        <v>405</v>
      </c>
      <c r="OQ13">
        <v>406</v>
      </c>
      <c r="OR13">
        <v>407</v>
      </c>
      <c r="OS13">
        <v>408</v>
      </c>
      <c r="OT13">
        <v>409</v>
      </c>
      <c r="OU13">
        <v>410</v>
      </c>
      <c r="OV13">
        <v>411</v>
      </c>
      <c r="OW13">
        <v>412</v>
      </c>
      <c r="OX13">
        <v>413</v>
      </c>
      <c r="OY13">
        <v>414</v>
      </c>
      <c r="OZ13">
        <v>415</v>
      </c>
      <c r="PA13">
        <v>416</v>
      </c>
      <c r="PB13">
        <v>417</v>
      </c>
      <c r="PC13">
        <v>418</v>
      </c>
      <c r="PD13">
        <v>419</v>
      </c>
      <c r="PE13">
        <v>420</v>
      </c>
      <c r="PF13">
        <v>421</v>
      </c>
      <c r="PG13">
        <v>422</v>
      </c>
      <c r="PH13">
        <v>423</v>
      </c>
      <c r="PI13">
        <v>424</v>
      </c>
      <c r="PJ13">
        <v>425</v>
      </c>
      <c r="PK13">
        <v>426</v>
      </c>
      <c r="PL13">
        <v>427</v>
      </c>
      <c r="PM13">
        <v>428</v>
      </c>
      <c r="PN13">
        <v>429</v>
      </c>
      <c r="PO13">
        <v>430</v>
      </c>
      <c r="PP13">
        <v>431</v>
      </c>
      <c r="PQ13">
        <v>432</v>
      </c>
      <c r="PR13">
        <v>433</v>
      </c>
      <c r="PS13">
        <v>434</v>
      </c>
      <c r="PT13">
        <v>435</v>
      </c>
      <c r="PU13">
        <v>436</v>
      </c>
      <c r="PV13">
        <v>437</v>
      </c>
      <c r="PW13">
        <v>438</v>
      </c>
      <c r="PX13">
        <v>439</v>
      </c>
      <c r="PY13">
        <v>440</v>
      </c>
      <c r="PZ13">
        <v>441</v>
      </c>
      <c r="QA13">
        <v>442</v>
      </c>
      <c r="QB13">
        <v>443</v>
      </c>
      <c r="QC13">
        <v>444</v>
      </c>
      <c r="QD13">
        <v>445</v>
      </c>
      <c r="QE13">
        <v>446</v>
      </c>
      <c r="QF13">
        <v>447</v>
      </c>
      <c r="QG13">
        <v>448</v>
      </c>
      <c r="QH13">
        <v>449</v>
      </c>
      <c r="QI13">
        <v>450</v>
      </c>
      <c r="QJ13">
        <v>451</v>
      </c>
      <c r="QK13">
        <v>452</v>
      </c>
      <c r="QL13">
        <v>453</v>
      </c>
      <c r="QM13">
        <v>454</v>
      </c>
      <c r="QN13">
        <v>455</v>
      </c>
      <c r="QO13">
        <v>456</v>
      </c>
      <c r="QP13">
        <v>457</v>
      </c>
      <c r="QQ13">
        <v>458</v>
      </c>
      <c r="QR13">
        <v>459</v>
      </c>
      <c r="QS13">
        <v>460</v>
      </c>
      <c r="QT13">
        <v>461</v>
      </c>
      <c r="QU13">
        <v>462</v>
      </c>
      <c r="QV13">
        <v>463</v>
      </c>
      <c r="QW13">
        <v>464</v>
      </c>
      <c r="QX13">
        <v>465</v>
      </c>
      <c r="QY13">
        <v>466</v>
      </c>
      <c r="QZ13">
        <v>467</v>
      </c>
      <c r="RA13">
        <v>468</v>
      </c>
      <c r="RB13">
        <v>469</v>
      </c>
      <c r="RC13">
        <v>470</v>
      </c>
      <c r="RD13">
        <v>471</v>
      </c>
      <c r="RE13">
        <v>472</v>
      </c>
      <c r="RF13">
        <v>473</v>
      </c>
      <c r="RG13">
        <v>474</v>
      </c>
      <c r="RH13">
        <v>475</v>
      </c>
      <c r="RI13">
        <v>476</v>
      </c>
      <c r="RJ13">
        <v>477</v>
      </c>
      <c r="RK13">
        <v>478</v>
      </c>
      <c r="RL13">
        <v>479</v>
      </c>
      <c r="RM13">
        <v>480</v>
      </c>
      <c r="RN13">
        <v>481</v>
      </c>
      <c r="RO13">
        <v>482</v>
      </c>
      <c r="RP13">
        <v>483</v>
      </c>
      <c r="RQ13">
        <v>484</v>
      </c>
      <c r="RR13">
        <v>485</v>
      </c>
      <c r="RS13">
        <v>486</v>
      </c>
      <c r="RT13">
        <v>487</v>
      </c>
      <c r="RU13">
        <v>488</v>
      </c>
      <c r="RV13">
        <v>489</v>
      </c>
      <c r="RW13">
        <v>490</v>
      </c>
      <c r="RX13">
        <v>491</v>
      </c>
      <c r="RY13">
        <v>492</v>
      </c>
      <c r="RZ13">
        <v>493</v>
      </c>
      <c r="SA13">
        <v>494</v>
      </c>
      <c r="SB13">
        <v>495</v>
      </c>
      <c r="SC13">
        <v>496</v>
      </c>
      <c r="SD13">
        <v>497</v>
      </c>
      <c r="SE13">
        <v>498</v>
      </c>
      <c r="SF13">
        <v>499</v>
      </c>
      <c r="SG13">
        <v>500</v>
      </c>
    </row>
    <row r="14" spans="1:501" x14ac:dyDescent="0.3">
      <c r="A14" s="1">
        <v>45847</v>
      </c>
    </row>
    <row r="15" spans="1:501" x14ac:dyDescent="0.3">
      <c r="A15" s="1" t="s">
        <v>88</v>
      </c>
      <c r="B15">
        <f ca="1">$B2*EXP(($I2-($H2^2)/2)*(1/52)+$H2*SQRT(1/52)*_xlfn.NORM.INV(RAND(),0,1))</f>
        <v>9.8731696931208663</v>
      </c>
      <c r="C15">
        <f t="shared" ref="C15:BN16" ca="1" si="5">$B2*EXP(($I2-($H2^2)/2)*(1/52)+$H2*SQRT(1/52)*_xlfn.NORM.INV(RAND(),0,1))</f>
        <v>9.8712232995607874</v>
      </c>
      <c r="D15">
        <f t="shared" ca="1" si="5"/>
        <v>9.8711223551326466</v>
      </c>
      <c r="E15">
        <f t="shared" ca="1" si="5"/>
        <v>9.8683708351122341</v>
      </c>
      <c r="F15">
        <f t="shared" ca="1" si="5"/>
        <v>9.8692940173760704</v>
      </c>
      <c r="G15">
        <f t="shared" ca="1" si="5"/>
        <v>9.8728067221024887</v>
      </c>
      <c r="H15">
        <f t="shared" ca="1" si="5"/>
        <v>9.8657939463252902</v>
      </c>
      <c r="I15">
        <f t="shared" ca="1" si="5"/>
        <v>9.8691763656018949</v>
      </c>
      <c r="J15">
        <f t="shared" ca="1" si="5"/>
        <v>9.8698487230980518</v>
      </c>
      <c r="K15">
        <f t="shared" ca="1" si="5"/>
        <v>9.8683119304838289</v>
      </c>
      <c r="L15">
        <f t="shared" ca="1" si="5"/>
        <v>9.8721734868332636</v>
      </c>
      <c r="M15">
        <f t="shared" ca="1" si="5"/>
        <v>9.86625581030159</v>
      </c>
      <c r="N15">
        <f t="shared" ca="1" si="5"/>
        <v>9.8655972808295616</v>
      </c>
      <c r="O15">
        <f t="shared" ca="1" si="5"/>
        <v>9.867645658242413</v>
      </c>
      <c r="P15">
        <f t="shared" ca="1" si="5"/>
        <v>9.8664743961477566</v>
      </c>
      <c r="Q15">
        <f t="shared" ca="1" si="5"/>
        <v>9.8667773607459068</v>
      </c>
      <c r="R15">
        <f t="shared" ca="1" si="5"/>
        <v>9.8641434904645653</v>
      </c>
      <c r="S15">
        <f t="shared" ca="1" si="5"/>
        <v>9.8726417610969222</v>
      </c>
      <c r="T15">
        <f t="shared" ca="1" si="5"/>
        <v>9.8680429357106476</v>
      </c>
      <c r="U15">
        <f t="shared" ca="1" si="5"/>
        <v>9.8719395568286039</v>
      </c>
      <c r="V15">
        <f t="shared" ca="1" si="5"/>
        <v>9.8698395793471754</v>
      </c>
      <c r="W15">
        <f t="shared" ca="1" si="5"/>
        <v>9.8721658847217437</v>
      </c>
      <c r="X15">
        <f t="shared" ca="1" si="5"/>
        <v>9.8703564322343595</v>
      </c>
      <c r="Y15">
        <f t="shared" ca="1" si="5"/>
        <v>9.8694181384636295</v>
      </c>
      <c r="Z15">
        <f t="shared" ca="1" si="5"/>
        <v>9.8706742774229195</v>
      </c>
      <c r="AA15">
        <f t="shared" ca="1" si="5"/>
        <v>9.8707478489683407</v>
      </c>
      <c r="AB15">
        <f t="shared" ca="1" si="5"/>
        <v>9.871498561286856</v>
      </c>
      <c r="AC15">
        <f t="shared" ca="1" si="5"/>
        <v>9.8710849325912005</v>
      </c>
      <c r="AD15">
        <f t="shared" ca="1" si="5"/>
        <v>9.8689934961046433</v>
      </c>
      <c r="AE15">
        <f t="shared" ca="1" si="5"/>
        <v>9.8694578799749166</v>
      </c>
      <c r="AF15">
        <f t="shared" ca="1" si="5"/>
        <v>9.8697638916198596</v>
      </c>
      <c r="AG15">
        <f t="shared" ca="1" si="5"/>
        <v>9.8671352801257353</v>
      </c>
      <c r="AH15">
        <f t="shared" ca="1" si="5"/>
        <v>9.8710657036333327</v>
      </c>
      <c r="AI15">
        <f t="shared" ca="1" si="5"/>
        <v>9.8733716175104789</v>
      </c>
      <c r="AJ15">
        <f t="shared" ca="1" si="5"/>
        <v>9.8673445267466668</v>
      </c>
      <c r="AK15">
        <f t="shared" ca="1" si="5"/>
        <v>9.8651112389047224</v>
      </c>
      <c r="AL15">
        <f t="shared" ca="1" si="5"/>
        <v>9.873799501913151</v>
      </c>
      <c r="AM15">
        <f t="shared" ca="1" si="5"/>
        <v>9.8698994390972121</v>
      </c>
      <c r="AN15">
        <f t="shared" ca="1" si="5"/>
        <v>9.8679316584745287</v>
      </c>
      <c r="AO15">
        <f t="shared" ca="1" si="5"/>
        <v>9.8721812090348209</v>
      </c>
      <c r="AP15">
        <f t="shared" ca="1" si="5"/>
        <v>9.8709433024825159</v>
      </c>
      <c r="AQ15">
        <f t="shared" ca="1" si="5"/>
        <v>9.866047958103449</v>
      </c>
      <c r="AR15">
        <f t="shared" ca="1" si="5"/>
        <v>9.8714184161247207</v>
      </c>
      <c r="AS15">
        <f t="shared" ca="1" si="5"/>
        <v>9.8662305131202626</v>
      </c>
      <c r="AT15">
        <f t="shared" ca="1" si="5"/>
        <v>9.8708549075135874</v>
      </c>
      <c r="AU15">
        <f t="shared" ca="1" si="5"/>
        <v>9.8739771694873486</v>
      </c>
      <c r="AV15">
        <f t="shared" ca="1" si="5"/>
        <v>9.8685358562033443</v>
      </c>
      <c r="AW15">
        <f t="shared" ca="1" si="5"/>
        <v>9.874337494146932</v>
      </c>
      <c r="AX15">
        <f t="shared" ca="1" si="5"/>
        <v>9.8728034848414286</v>
      </c>
      <c r="AY15">
        <f t="shared" ca="1" si="5"/>
        <v>9.8685352943477529</v>
      </c>
      <c r="AZ15">
        <f t="shared" ca="1" si="5"/>
        <v>9.8698061698816861</v>
      </c>
      <c r="BA15">
        <f t="shared" ca="1" si="5"/>
        <v>9.8656218496501626</v>
      </c>
      <c r="BB15">
        <f t="shared" ca="1" si="5"/>
        <v>9.8691769284546957</v>
      </c>
      <c r="BC15">
        <f t="shared" ca="1" si="5"/>
        <v>9.8728095988884217</v>
      </c>
      <c r="BD15">
        <f t="shared" ca="1" si="5"/>
        <v>9.869890806658459</v>
      </c>
      <c r="BE15">
        <f t="shared" ca="1" si="5"/>
        <v>9.8677654764615585</v>
      </c>
      <c r="BF15">
        <f t="shared" ca="1" si="5"/>
        <v>9.8726162122294134</v>
      </c>
      <c r="BG15">
        <f t="shared" ca="1" si="5"/>
        <v>9.8708428107085044</v>
      </c>
      <c r="BH15">
        <f t="shared" ca="1" si="5"/>
        <v>9.8741308993880779</v>
      </c>
      <c r="BI15">
        <f t="shared" ca="1" si="5"/>
        <v>9.8678938446188074</v>
      </c>
      <c r="BJ15">
        <f t="shared" ca="1" si="5"/>
        <v>9.8717531628974644</v>
      </c>
      <c r="BK15">
        <f t="shared" ca="1" si="5"/>
        <v>9.8687663402986203</v>
      </c>
      <c r="BL15">
        <f t="shared" ca="1" si="5"/>
        <v>9.8688712051638721</v>
      </c>
      <c r="BM15">
        <f t="shared" ca="1" si="5"/>
        <v>9.8717413225415864</v>
      </c>
      <c r="BN15">
        <f t="shared" ca="1" si="5"/>
        <v>9.8710655135519652</v>
      </c>
      <c r="BO15">
        <f t="shared" ref="BO15:DZ18" ca="1" si="6">$B2*EXP(($I2-($H2^2)/2)*(1/52)+$H2*SQRT(1/52)*_xlfn.NORM.INV(RAND(),0,1))</f>
        <v>9.871442978901408</v>
      </c>
      <c r="BP15">
        <f t="shared" ca="1" si="6"/>
        <v>9.8707874444190988</v>
      </c>
      <c r="BQ15">
        <f t="shared" ca="1" si="6"/>
        <v>9.870417595677436</v>
      </c>
      <c r="BR15">
        <f t="shared" ca="1" si="6"/>
        <v>9.8675852769987351</v>
      </c>
      <c r="BS15">
        <f t="shared" ca="1" si="6"/>
        <v>9.8688381492474253</v>
      </c>
      <c r="BT15">
        <f t="shared" ca="1" si="6"/>
        <v>9.8688951672180369</v>
      </c>
      <c r="BU15">
        <f t="shared" ca="1" si="6"/>
        <v>9.8687074405152497</v>
      </c>
      <c r="BV15">
        <f t="shared" ca="1" si="6"/>
        <v>9.8664981482534753</v>
      </c>
      <c r="BW15">
        <f t="shared" ca="1" si="6"/>
        <v>9.8666603357238625</v>
      </c>
      <c r="BX15">
        <f t="shared" ca="1" si="6"/>
        <v>9.8696517230029066</v>
      </c>
      <c r="BY15">
        <f t="shared" ca="1" si="6"/>
        <v>9.8664677970612509</v>
      </c>
      <c r="BZ15">
        <f t="shared" ca="1" si="6"/>
        <v>9.864735958264756</v>
      </c>
      <c r="CA15">
        <f t="shared" ca="1" si="6"/>
        <v>9.8707369868460333</v>
      </c>
      <c r="CB15">
        <f t="shared" ca="1" si="6"/>
        <v>9.86647196645119</v>
      </c>
      <c r="CC15">
        <f t="shared" ca="1" si="6"/>
        <v>9.8704987509017794</v>
      </c>
      <c r="CD15">
        <f t="shared" ca="1" si="6"/>
        <v>9.8711718640296429</v>
      </c>
      <c r="CE15">
        <f t="shared" ca="1" si="6"/>
        <v>9.8680476325519315</v>
      </c>
      <c r="CF15">
        <f t="shared" ca="1" si="6"/>
        <v>9.866954441190785</v>
      </c>
      <c r="CG15">
        <f t="shared" ca="1" si="6"/>
        <v>9.8701304814040807</v>
      </c>
      <c r="CH15">
        <f t="shared" ca="1" si="6"/>
        <v>9.8689174717364914</v>
      </c>
      <c r="CI15">
        <f t="shared" ca="1" si="6"/>
        <v>9.8675113323925903</v>
      </c>
      <c r="CJ15">
        <f t="shared" ca="1" si="6"/>
        <v>9.8655907247356893</v>
      </c>
      <c r="CK15">
        <f t="shared" ca="1" si="6"/>
        <v>9.8767641176071681</v>
      </c>
      <c r="CL15">
        <f t="shared" ca="1" si="6"/>
        <v>9.873466089979507</v>
      </c>
      <c r="CM15">
        <f t="shared" ca="1" si="6"/>
        <v>9.8714662584220338</v>
      </c>
      <c r="CN15">
        <f t="shared" ca="1" si="6"/>
        <v>9.8711557753548895</v>
      </c>
      <c r="CO15">
        <f t="shared" ca="1" si="6"/>
        <v>9.8666039477816501</v>
      </c>
      <c r="CP15">
        <f t="shared" ca="1" si="6"/>
        <v>9.8682947915058783</v>
      </c>
      <c r="CQ15">
        <f t="shared" ca="1" si="6"/>
        <v>9.8678061257951963</v>
      </c>
      <c r="CR15">
        <f t="shared" ca="1" si="6"/>
        <v>9.8648946223489364</v>
      </c>
      <c r="CS15">
        <f t="shared" ca="1" si="6"/>
        <v>9.870144303193273</v>
      </c>
      <c r="CT15">
        <f t="shared" ca="1" si="6"/>
        <v>9.8680168234056467</v>
      </c>
      <c r="CU15">
        <f t="shared" ca="1" si="6"/>
        <v>9.8689305929804103</v>
      </c>
      <c r="CV15">
        <f t="shared" ca="1" si="6"/>
        <v>9.8650427260886868</v>
      </c>
      <c r="CW15">
        <f t="shared" ca="1" si="6"/>
        <v>9.8691634885611457</v>
      </c>
      <c r="CX15">
        <f t="shared" ca="1" si="6"/>
        <v>9.8696100312642159</v>
      </c>
      <c r="CY15">
        <f t="shared" ca="1" si="6"/>
        <v>9.8679049492684054</v>
      </c>
      <c r="CZ15">
        <f t="shared" ca="1" si="6"/>
        <v>9.8683049580519278</v>
      </c>
      <c r="DA15">
        <f t="shared" ca="1" si="6"/>
        <v>9.8680627044697982</v>
      </c>
      <c r="DB15">
        <f t="shared" ca="1" si="6"/>
        <v>9.8721282701096413</v>
      </c>
      <c r="DC15">
        <f t="shared" ca="1" si="6"/>
        <v>9.8729849031035641</v>
      </c>
      <c r="DD15">
        <f t="shared" ca="1" si="6"/>
        <v>9.867338763460479</v>
      </c>
      <c r="DE15">
        <f t="shared" ca="1" si="6"/>
        <v>9.8682429182941149</v>
      </c>
      <c r="DF15">
        <f t="shared" ca="1" si="6"/>
        <v>9.8729392257762445</v>
      </c>
      <c r="DG15">
        <f t="shared" ca="1" si="6"/>
        <v>9.8660085668168502</v>
      </c>
      <c r="DH15">
        <f t="shared" ca="1" si="6"/>
        <v>9.8690394764007365</v>
      </c>
      <c r="DI15">
        <f t="shared" ca="1" si="6"/>
        <v>9.8682835901715471</v>
      </c>
      <c r="DJ15">
        <f t="shared" ca="1" si="6"/>
        <v>9.8689261211946739</v>
      </c>
      <c r="DK15">
        <f t="shared" ca="1" si="6"/>
        <v>9.8680755865287839</v>
      </c>
      <c r="DL15">
        <f t="shared" ca="1" si="6"/>
        <v>9.8721830835331961</v>
      </c>
      <c r="DM15">
        <f t="shared" ca="1" si="6"/>
        <v>9.8661515269782569</v>
      </c>
      <c r="DN15">
        <f t="shared" ca="1" si="6"/>
        <v>9.8717715646683466</v>
      </c>
      <c r="DO15">
        <f t="shared" ca="1" si="6"/>
        <v>9.8701484527066246</v>
      </c>
      <c r="DP15">
        <f t="shared" ca="1" si="6"/>
        <v>9.8650263962360292</v>
      </c>
      <c r="DQ15">
        <f t="shared" ca="1" si="6"/>
        <v>9.86790493799157</v>
      </c>
      <c r="DR15">
        <f t="shared" ca="1" si="6"/>
        <v>9.8691932739859798</v>
      </c>
      <c r="DS15">
        <f t="shared" ca="1" si="6"/>
        <v>9.8747272036804983</v>
      </c>
      <c r="DT15">
        <f t="shared" ca="1" si="6"/>
        <v>9.8697829381963285</v>
      </c>
      <c r="DU15">
        <f t="shared" ca="1" si="6"/>
        <v>9.8712668511013835</v>
      </c>
      <c r="DV15">
        <f t="shared" ca="1" si="6"/>
        <v>9.8728236681752808</v>
      </c>
      <c r="DW15">
        <f t="shared" ca="1" si="6"/>
        <v>9.8687832157822282</v>
      </c>
      <c r="DX15">
        <f t="shared" ca="1" si="6"/>
        <v>9.8715226589989733</v>
      </c>
      <c r="DY15">
        <f t="shared" ca="1" si="6"/>
        <v>9.872374343653469</v>
      </c>
      <c r="DZ15">
        <f t="shared" ca="1" si="6"/>
        <v>9.8699785334647299</v>
      </c>
      <c r="EA15">
        <f t="shared" ref="EA15:GL21" ca="1" si="7">$B2*EXP(($I2-($H2^2)/2)*(1/52)+$H2*SQRT(1/52)*_xlfn.NORM.INV(RAND(),0,1))</f>
        <v>9.8654552552126376</v>
      </c>
      <c r="EB15">
        <f t="shared" ca="1" si="7"/>
        <v>9.8714680582551448</v>
      </c>
      <c r="EC15">
        <f t="shared" ca="1" si="7"/>
        <v>9.8755264193783283</v>
      </c>
      <c r="ED15">
        <f t="shared" ca="1" si="7"/>
        <v>9.8655730880313897</v>
      </c>
      <c r="EE15">
        <f t="shared" ca="1" si="7"/>
        <v>9.8738358682605298</v>
      </c>
      <c r="EF15">
        <f t="shared" ca="1" si="7"/>
        <v>9.8758843072456912</v>
      </c>
      <c r="EG15">
        <f t="shared" ca="1" si="7"/>
        <v>9.8708955717855034</v>
      </c>
      <c r="EH15">
        <f t="shared" ca="1" si="7"/>
        <v>9.8736587884222917</v>
      </c>
      <c r="EI15">
        <f t="shared" ca="1" si="7"/>
        <v>9.8730438548309998</v>
      </c>
      <c r="EJ15">
        <f t="shared" ca="1" si="7"/>
        <v>9.8662919875556874</v>
      </c>
      <c r="EK15">
        <f t="shared" ca="1" si="7"/>
        <v>9.8680540722438437</v>
      </c>
      <c r="EL15">
        <f t="shared" ca="1" si="7"/>
        <v>9.8707347030406005</v>
      </c>
      <c r="EM15">
        <f t="shared" ca="1" si="7"/>
        <v>9.8674838306867176</v>
      </c>
      <c r="EN15">
        <f t="shared" ca="1" si="7"/>
        <v>9.8709701219809904</v>
      </c>
      <c r="EO15">
        <f t="shared" ca="1" si="7"/>
        <v>9.8686907995309348</v>
      </c>
      <c r="EP15">
        <f t="shared" ca="1" si="7"/>
        <v>9.8688576813284374</v>
      </c>
      <c r="EQ15">
        <f t="shared" ca="1" si="7"/>
        <v>9.8669848230608306</v>
      </c>
      <c r="ER15">
        <f t="shared" ca="1" si="7"/>
        <v>9.8664742514470909</v>
      </c>
      <c r="ES15">
        <f t="shared" ca="1" si="7"/>
        <v>9.870311575780466</v>
      </c>
      <c r="ET15">
        <f t="shared" ca="1" si="7"/>
        <v>9.8701718027817762</v>
      </c>
      <c r="EU15">
        <f t="shared" ca="1" si="7"/>
        <v>9.870227816473955</v>
      </c>
      <c r="EV15">
        <f t="shared" ca="1" si="7"/>
        <v>9.8705354360584785</v>
      </c>
      <c r="EW15">
        <f t="shared" ca="1" si="7"/>
        <v>9.8751523634663698</v>
      </c>
      <c r="EX15">
        <f t="shared" ca="1" si="7"/>
        <v>9.869988948312427</v>
      </c>
      <c r="EY15">
        <f t="shared" ca="1" si="7"/>
        <v>9.868376928255179</v>
      </c>
      <c r="EZ15">
        <f t="shared" ca="1" si="7"/>
        <v>9.8681491809745054</v>
      </c>
      <c r="FA15">
        <f t="shared" ca="1" si="7"/>
        <v>9.8721712546971769</v>
      </c>
      <c r="FB15">
        <f t="shared" ca="1" si="7"/>
        <v>9.8745573613422568</v>
      </c>
      <c r="FC15">
        <f t="shared" ca="1" si="7"/>
        <v>9.873382699660759</v>
      </c>
      <c r="FD15">
        <f t="shared" ca="1" si="7"/>
        <v>9.8697624503773422</v>
      </c>
      <c r="FE15">
        <f t="shared" ca="1" si="7"/>
        <v>9.8688647485099725</v>
      </c>
      <c r="FF15">
        <f t="shared" ca="1" si="7"/>
        <v>9.8708949398567132</v>
      </c>
      <c r="FG15">
        <f t="shared" ca="1" si="7"/>
        <v>9.8708341643113098</v>
      </c>
      <c r="FH15">
        <f t="shared" ca="1" si="7"/>
        <v>9.8741130013948233</v>
      </c>
      <c r="FI15">
        <f t="shared" ca="1" si="7"/>
        <v>9.866380204344571</v>
      </c>
      <c r="FJ15">
        <f t="shared" ca="1" si="7"/>
        <v>9.8663066239353707</v>
      </c>
      <c r="FK15">
        <f t="shared" ca="1" si="7"/>
        <v>9.8698131075424538</v>
      </c>
      <c r="FL15">
        <f t="shared" ca="1" si="7"/>
        <v>9.8713891262608797</v>
      </c>
      <c r="FM15">
        <f t="shared" ca="1" si="7"/>
        <v>9.8743345794187807</v>
      </c>
      <c r="FN15">
        <f t="shared" ca="1" si="7"/>
        <v>9.8699691041028164</v>
      </c>
      <c r="FO15">
        <f t="shared" ca="1" si="7"/>
        <v>9.8689111140769299</v>
      </c>
      <c r="FP15">
        <f t="shared" ca="1" si="7"/>
        <v>9.865579543901509</v>
      </c>
      <c r="FQ15">
        <f t="shared" ca="1" si="7"/>
        <v>9.8686736671461901</v>
      </c>
      <c r="FR15">
        <f t="shared" ca="1" si="7"/>
        <v>9.8695023684395515</v>
      </c>
      <c r="FS15">
        <f t="shared" ca="1" si="7"/>
        <v>9.8661674125884691</v>
      </c>
      <c r="FT15">
        <f t="shared" ca="1" si="7"/>
        <v>9.870913361799154</v>
      </c>
      <c r="FU15">
        <f t="shared" ca="1" si="7"/>
        <v>9.8728629672493255</v>
      </c>
      <c r="FV15">
        <f t="shared" ca="1" si="7"/>
        <v>9.8696275937907689</v>
      </c>
      <c r="FW15">
        <f t="shared" ca="1" si="7"/>
        <v>9.8733303800284187</v>
      </c>
      <c r="FX15">
        <f t="shared" ca="1" si="7"/>
        <v>9.8704333193700062</v>
      </c>
      <c r="FY15">
        <f t="shared" ca="1" si="7"/>
        <v>9.8736231088899444</v>
      </c>
      <c r="FZ15">
        <f t="shared" ca="1" si="7"/>
        <v>9.8681258584496607</v>
      </c>
      <c r="GA15">
        <f t="shared" ca="1" si="7"/>
        <v>9.8725074020130439</v>
      </c>
      <c r="GB15">
        <f t="shared" ca="1" si="7"/>
        <v>9.8663766681812604</v>
      </c>
      <c r="GC15">
        <f t="shared" ca="1" si="7"/>
        <v>9.8725357929023616</v>
      </c>
      <c r="GD15">
        <f t="shared" ca="1" si="7"/>
        <v>9.8686823944883955</v>
      </c>
      <c r="GE15">
        <f t="shared" ca="1" si="7"/>
        <v>9.866827395520037</v>
      </c>
      <c r="GF15">
        <f t="shared" ca="1" si="7"/>
        <v>9.8716555883957877</v>
      </c>
      <c r="GG15">
        <f t="shared" ca="1" si="7"/>
        <v>9.8675813224556155</v>
      </c>
      <c r="GH15">
        <f t="shared" ca="1" si="7"/>
        <v>9.8721739593622129</v>
      </c>
      <c r="GI15">
        <f t="shared" ca="1" si="7"/>
        <v>9.8736318545534481</v>
      </c>
      <c r="GJ15">
        <f t="shared" ca="1" si="7"/>
        <v>9.8725567432415566</v>
      </c>
      <c r="GK15">
        <f t="shared" ca="1" si="7"/>
        <v>9.8698032946894951</v>
      </c>
      <c r="GL15">
        <f t="shared" ca="1" si="7"/>
        <v>9.8668525813467163</v>
      </c>
      <c r="GM15">
        <f t="shared" ref="GM15:IX18" ca="1" si="8">$B2*EXP(($I2-($H2^2)/2)*(1/52)+$H2*SQRT(1/52)*_xlfn.NORM.INV(RAND(),0,1))</f>
        <v>9.8688362167015757</v>
      </c>
      <c r="GN15">
        <f t="shared" ca="1" si="8"/>
        <v>9.8668628285849493</v>
      </c>
      <c r="GO15">
        <f t="shared" ca="1" si="8"/>
        <v>9.8725638649376197</v>
      </c>
      <c r="GP15">
        <f t="shared" ca="1" si="8"/>
        <v>9.8659611538643208</v>
      </c>
      <c r="GQ15">
        <f t="shared" ca="1" si="8"/>
        <v>9.8732095443606482</v>
      </c>
      <c r="GR15">
        <f t="shared" ca="1" si="8"/>
        <v>9.8727300069885739</v>
      </c>
      <c r="GS15">
        <f t="shared" ca="1" si="8"/>
        <v>9.8671783269903663</v>
      </c>
      <c r="GT15">
        <f t="shared" ca="1" si="8"/>
        <v>9.8660089669912789</v>
      </c>
      <c r="GU15">
        <f t="shared" ca="1" si="8"/>
        <v>9.8659917160929602</v>
      </c>
      <c r="GV15">
        <f t="shared" ca="1" si="8"/>
        <v>9.8693021125278833</v>
      </c>
      <c r="GW15">
        <f t="shared" ca="1" si="8"/>
        <v>9.8677735913283229</v>
      </c>
      <c r="GX15">
        <f t="shared" ca="1" si="8"/>
        <v>9.8677359651012111</v>
      </c>
      <c r="GY15">
        <f t="shared" ca="1" si="8"/>
        <v>9.8706560278445394</v>
      </c>
      <c r="GZ15">
        <f t="shared" ca="1" si="8"/>
        <v>9.8696024706459831</v>
      </c>
      <c r="HA15">
        <f t="shared" ca="1" si="8"/>
        <v>9.8734379852343093</v>
      </c>
      <c r="HB15">
        <f t="shared" ca="1" si="8"/>
        <v>9.867712505566784</v>
      </c>
      <c r="HC15">
        <f t="shared" ca="1" si="8"/>
        <v>9.8763606288210752</v>
      </c>
      <c r="HD15">
        <f t="shared" ca="1" si="8"/>
        <v>9.8685440671083313</v>
      </c>
      <c r="HE15">
        <f t="shared" ca="1" si="8"/>
        <v>9.8720623416311017</v>
      </c>
      <c r="HF15">
        <f t="shared" ca="1" si="8"/>
        <v>9.8704941973342493</v>
      </c>
      <c r="HG15">
        <f t="shared" ca="1" si="8"/>
        <v>9.8730630030613558</v>
      </c>
      <c r="HH15">
        <f t="shared" ca="1" si="8"/>
        <v>9.8702194635889242</v>
      </c>
      <c r="HI15">
        <f t="shared" ca="1" si="8"/>
        <v>9.8694974622277964</v>
      </c>
      <c r="HJ15">
        <f t="shared" ca="1" si="8"/>
        <v>9.8719316165233373</v>
      </c>
      <c r="HK15">
        <f t="shared" ca="1" si="8"/>
        <v>9.8725802824083324</v>
      </c>
      <c r="HL15">
        <f t="shared" ca="1" si="8"/>
        <v>9.87282165734808</v>
      </c>
      <c r="HM15">
        <f t="shared" ca="1" si="8"/>
        <v>9.869500275851415</v>
      </c>
      <c r="HN15">
        <f t="shared" ca="1" si="8"/>
        <v>9.8706542448038572</v>
      </c>
      <c r="HO15">
        <f t="shared" ca="1" si="8"/>
        <v>9.8693670038149079</v>
      </c>
      <c r="HP15">
        <f t="shared" ca="1" si="8"/>
        <v>9.8672521373150897</v>
      </c>
      <c r="HQ15">
        <f t="shared" ca="1" si="8"/>
        <v>9.870916880630114</v>
      </c>
      <c r="HR15">
        <f t="shared" ca="1" si="8"/>
        <v>9.8723631047077944</v>
      </c>
      <c r="HS15">
        <f t="shared" ca="1" si="8"/>
        <v>9.8652497621827901</v>
      </c>
      <c r="HT15">
        <f t="shared" ca="1" si="8"/>
        <v>9.8761608264623906</v>
      </c>
      <c r="HU15">
        <f t="shared" ca="1" si="8"/>
        <v>9.8703327948775197</v>
      </c>
      <c r="HV15">
        <f t="shared" ca="1" si="8"/>
        <v>9.8677687952132267</v>
      </c>
      <c r="HW15">
        <f t="shared" ca="1" si="8"/>
        <v>9.8687986710714934</v>
      </c>
      <c r="HX15">
        <f t="shared" ca="1" si="8"/>
        <v>9.8737010853483991</v>
      </c>
      <c r="HY15">
        <f t="shared" ca="1" si="8"/>
        <v>9.8737156359381189</v>
      </c>
      <c r="HZ15">
        <f t="shared" ca="1" si="8"/>
        <v>9.872196206603304</v>
      </c>
      <c r="IA15">
        <f t="shared" ca="1" si="8"/>
        <v>9.869940440647559</v>
      </c>
      <c r="IB15">
        <f t="shared" ca="1" si="8"/>
        <v>9.8717066488372094</v>
      </c>
      <c r="IC15">
        <f t="shared" ca="1" si="8"/>
        <v>9.867265939071828</v>
      </c>
      <c r="ID15">
        <f t="shared" ca="1" si="8"/>
        <v>9.8658920658290032</v>
      </c>
      <c r="IE15">
        <f t="shared" ca="1" si="8"/>
        <v>9.8697475671742243</v>
      </c>
      <c r="IF15">
        <f t="shared" ca="1" si="8"/>
        <v>9.8667036677962461</v>
      </c>
      <c r="IG15">
        <f t="shared" ca="1" si="8"/>
        <v>9.8739489425601388</v>
      </c>
      <c r="IH15">
        <f t="shared" ca="1" si="8"/>
        <v>9.8654905440146621</v>
      </c>
      <c r="II15">
        <f t="shared" ca="1" si="8"/>
        <v>9.8732654661609836</v>
      </c>
      <c r="IJ15">
        <f t="shared" ca="1" si="8"/>
        <v>9.8714364722521015</v>
      </c>
      <c r="IK15">
        <f t="shared" ca="1" si="8"/>
        <v>9.8744227007073579</v>
      </c>
      <c r="IL15">
        <f t="shared" ca="1" si="8"/>
        <v>9.8712254320427277</v>
      </c>
      <c r="IM15">
        <f t="shared" ca="1" si="8"/>
        <v>9.869174767159052</v>
      </c>
      <c r="IN15">
        <f t="shared" ca="1" si="8"/>
        <v>9.8714173138004124</v>
      </c>
      <c r="IO15">
        <f t="shared" ca="1" si="8"/>
        <v>9.8758933723854483</v>
      </c>
      <c r="IP15">
        <f t="shared" ca="1" si="8"/>
        <v>9.8732820573483053</v>
      </c>
      <c r="IQ15">
        <f t="shared" ca="1" si="8"/>
        <v>9.8694005202954305</v>
      </c>
      <c r="IR15">
        <f t="shared" ca="1" si="8"/>
        <v>9.8683226525547258</v>
      </c>
      <c r="IS15">
        <f t="shared" ca="1" si="8"/>
        <v>9.8681355635656711</v>
      </c>
      <c r="IT15">
        <f t="shared" ca="1" si="8"/>
        <v>9.8667945964606556</v>
      </c>
      <c r="IU15">
        <f t="shared" ca="1" si="8"/>
        <v>9.8666053523191248</v>
      </c>
      <c r="IV15">
        <f t="shared" ca="1" si="8"/>
        <v>9.8749081381982986</v>
      </c>
      <c r="IW15">
        <f t="shared" ca="1" si="8"/>
        <v>9.8707610272191513</v>
      </c>
      <c r="IX15">
        <f t="shared" ca="1" si="8"/>
        <v>9.8747386547542764</v>
      </c>
      <c r="IY15">
        <f t="shared" ref="IY15:LJ21" ca="1" si="9">$B2*EXP(($I2-($H2^2)/2)*(1/52)+$H2*SQRT(1/52)*_xlfn.NORM.INV(RAND(),0,1))</f>
        <v>9.8722632210677048</v>
      </c>
      <c r="IZ15">
        <f t="shared" ca="1" si="9"/>
        <v>9.8690797170895213</v>
      </c>
      <c r="JA15">
        <f t="shared" ca="1" si="9"/>
        <v>9.872440321181255</v>
      </c>
      <c r="JB15">
        <f t="shared" ca="1" si="9"/>
        <v>9.8684905474090812</v>
      </c>
      <c r="JC15">
        <f t="shared" ca="1" si="9"/>
        <v>9.8717622388200681</v>
      </c>
      <c r="JD15">
        <f t="shared" ca="1" si="9"/>
        <v>9.870961794589876</v>
      </c>
      <c r="JE15">
        <f t="shared" ca="1" si="9"/>
        <v>9.8690007764331469</v>
      </c>
      <c r="JF15">
        <f t="shared" ca="1" si="9"/>
        <v>9.8702254678689378</v>
      </c>
      <c r="JG15">
        <f t="shared" ca="1" si="9"/>
        <v>9.8715762923570445</v>
      </c>
      <c r="JH15">
        <f t="shared" ca="1" si="9"/>
        <v>9.8700084893959463</v>
      </c>
      <c r="JI15">
        <f t="shared" ca="1" si="9"/>
        <v>9.8727482648078624</v>
      </c>
      <c r="JJ15">
        <f t="shared" ca="1" si="9"/>
        <v>9.873021701241024</v>
      </c>
      <c r="JK15">
        <f t="shared" ca="1" si="9"/>
        <v>9.8672866696947921</v>
      </c>
      <c r="JL15">
        <f t="shared" ca="1" si="9"/>
        <v>9.869533485155662</v>
      </c>
      <c r="JM15">
        <f t="shared" ca="1" si="9"/>
        <v>9.8691381320955909</v>
      </c>
      <c r="JN15">
        <f t="shared" ca="1" si="9"/>
        <v>9.8703456031033436</v>
      </c>
      <c r="JO15">
        <f t="shared" ca="1" si="9"/>
        <v>9.863930912968776</v>
      </c>
      <c r="JP15">
        <f t="shared" ca="1" si="9"/>
        <v>9.8682265635562612</v>
      </c>
      <c r="JQ15">
        <f t="shared" ca="1" si="9"/>
        <v>9.8688803364808511</v>
      </c>
      <c r="JR15">
        <f t="shared" ca="1" si="9"/>
        <v>9.8706481795447232</v>
      </c>
      <c r="JS15">
        <f t="shared" ca="1" si="9"/>
        <v>9.8662725593222831</v>
      </c>
      <c r="JT15">
        <f t="shared" ca="1" si="9"/>
        <v>9.8672541613439613</v>
      </c>
      <c r="JU15">
        <f t="shared" ca="1" si="9"/>
        <v>9.8684278305903668</v>
      </c>
      <c r="JV15">
        <f t="shared" ca="1" si="9"/>
        <v>9.8683430144623348</v>
      </c>
      <c r="JW15">
        <f t="shared" ca="1" si="9"/>
        <v>9.8688535124660426</v>
      </c>
      <c r="JX15">
        <f t="shared" ca="1" si="9"/>
        <v>9.8660631464304434</v>
      </c>
      <c r="JY15">
        <f t="shared" ca="1" si="9"/>
        <v>9.869712849407783</v>
      </c>
      <c r="JZ15">
        <f t="shared" ca="1" si="9"/>
        <v>9.8680809796116371</v>
      </c>
      <c r="KA15">
        <f t="shared" ca="1" si="9"/>
        <v>9.8721809195061425</v>
      </c>
      <c r="KB15">
        <f t="shared" ca="1" si="9"/>
        <v>9.87591908412249</v>
      </c>
      <c r="KC15">
        <f t="shared" ca="1" si="9"/>
        <v>9.8675938721782988</v>
      </c>
      <c r="KD15">
        <f t="shared" ca="1" si="9"/>
        <v>9.8708288337301706</v>
      </c>
      <c r="KE15">
        <f t="shared" ca="1" si="9"/>
        <v>9.8716192155844666</v>
      </c>
      <c r="KF15">
        <f t="shared" ca="1" si="9"/>
        <v>9.8689738119610873</v>
      </c>
      <c r="KG15">
        <f t="shared" ca="1" si="9"/>
        <v>9.8723238211573463</v>
      </c>
      <c r="KH15">
        <f t="shared" ca="1" si="9"/>
        <v>9.8659358885228183</v>
      </c>
      <c r="KI15">
        <f t="shared" ca="1" si="9"/>
        <v>9.8670964449883662</v>
      </c>
      <c r="KJ15">
        <f t="shared" ca="1" si="9"/>
        <v>9.8682762022215265</v>
      </c>
      <c r="KK15">
        <f t="shared" ca="1" si="9"/>
        <v>9.8691044822525686</v>
      </c>
      <c r="KL15">
        <f t="shared" ca="1" si="9"/>
        <v>9.8675358218445446</v>
      </c>
      <c r="KM15">
        <f t="shared" ca="1" si="9"/>
        <v>9.8681163417240807</v>
      </c>
      <c r="KN15">
        <f t="shared" ca="1" si="9"/>
        <v>9.8725076965357133</v>
      </c>
      <c r="KO15">
        <f t="shared" ca="1" si="9"/>
        <v>9.8645064226549515</v>
      </c>
      <c r="KP15">
        <f t="shared" ca="1" si="9"/>
        <v>9.8674092008382921</v>
      </c>
      <c r="KQ15">
        <f t="shared" ca="1" si="9"/>
        <v>9.870810904946234</v>
      </c>
      <c r="KR15">
        <f t="shared" ca="1" si="9"/>
        <v>9.8689497608479382</v>
      </c>
      <c r="KS15">
        <f t="shared" ca="1" si="9"/>
        <v>9.866466998257641</v>
      </c>
      <c r="KT15">
        <f t="shared" ca="1" si="9"/>
        <v>9.8727089922477944</v>
      </c>
      <c r="KU15">
        <f t="shared" ca="1" si="9"/>
        <v>9.8710068052043596</v>
      </c>
      <c r="KV15">
        <f t="shared" ca="1" si="9"/>
        <v>9.8744764858293461</v>
      </c>
      <c r="KW15">
        <f t="shared" ca="1" si="9"/>
        <v>9.8635071290593128</v>
      </c>
      <c r="KX15">
        <f t="shared" ca="1" si="9"/>
        <v>9.8674324935441682</v>
      </c>
      <c r="KY15">
        <f t="shared" ca="1" si="9"/>
        <v>9.8732383372451746</v>
      </c>
      <c r="KZ15">
        <f t="shared" ca="1" si="9"/>
        <v>9.8664575162155082</v>
      </c>
      <c r="LA15">
        <f t="shared" ca="1" si="9"/>
        <v>9.8742727491822304</v>
      </c>
      <c r="LB15">
        <f t="shared" ca="1" si="9"/>
        <v>9.8754590350678964</v>
      </c>
      <c r="LC15">
        <f t="shared" ca="1" si="9"/>
        <v>9.8715065270606459</v>
      </c>
      <c r="LD15">
        <f t="shared" ca="1" si="9"/>
        <v>9.8719242121158448</v>
      </c>
      <c r="LE15">
        <f t="shared" ca="1" si="9"/>
        <v>9.8701197502334352</v>
      </c>
      <c r="LF15">
        <f t="shared" ca="1" si="9"/>
        <v>9.8708568445297296</v>
      </c>
      <c r="LG15">
        <f t="shared" ca="1" si="9"/>
        <v>9.8712084382085443</v>
      </c>
      <c r="LH15">
        <f t="shared" ca="1" si="9"/>
        <v>9.8649417916099473</v>
      </c>
      <c r="LI15">
        <f t="shared" ca="1" si="9"/>
        <v>9.8685656450957211</v>
      </c>
      <c r="LJ15">
        <f t="shared" ca="1" si="9"/>
        <v>9.8683172384377613</v>
      </c>
      <c r="LK15">
        <f t="shared" ref="LK15:NV18" ca="1" si="10">$B2*EXP(($I2-($H2^2)/2)*(1/52)+$H2*SQRT(1/52)*_xlfn.NORM.INV(RAND(),0,1))</f>
        <v>9.8728289764668737</v>
      </c>
      <c r="LL15">
        <f t="shared" ca="1" si="10"/>
        <v>9.8691940314611362</v>
      </c>
      <c r="LM15">
        <f t="shared" ca="1" si="10"/>
        <v>9.8721880791807326</v>
      </c>
      <c r="LN15">
        <f t="shared" ca="1" si="10"/>
        <v>9.8678607284234054</v>
      </c>
      <c r="LO15">
        <f t="shared" ca="1" si="10"/>
        <v>9.8698435613403639</v>
      </c>
      <c r="LP15">
        <f t="shared" ca="1" si="10"/>
        <v>9.8704314911953848</v>
      </c>
      <c r="LQ15">
        <f t="shared" ca="1" si="10"/>
        <v>9.8683534884310333</v>
      </c>
      <c r="LR15">
        <f t="shared" ca="1" si="10"/>
        <v>9.8749000313949562</v>
      </c>
      <c r="LS15">
        <f t="shared" ca="1" si="10"/>
        <v>9.873855122442178</v>
      </c>
      <c r="LT15">
        <f t="shared" ca="1" si="10"/>
        <v>9.8676418657155178</v>
      </c>
      <c r="LU15">
        <f t="shared" ca="1" si="10"/>
        <v>9.8713300433094648</v>
      </c>
      <c r="LV15">
        <f t="shared" ca="1" si="10"/>
        <v>9.8654222967429099</v>
      </c>
      <c r="LW15">
        <f t="shared" ca="1" si="10"/>
        <v>9.8702881025150635</v>
      </c>
      <c r="LX15">
        <f t="shared" ca="1" si="10"/>
        <v>9.8693995319984431</v>
      </c>
      <c r="LY15">
        <f t="shared" ca="1" si="10"/>
        <v>9.873008164474026</v>
      </c>
      <c r="LZ15">
        <f t="shared" ca="1" si="10"/>
        <v>9.8732780259108068</v>
      </c>
      <c r="MA15">
        <f t="shared" ca="1" si="10"/>
        <v>9.8703865726934783</v>
      </c>
      <c r="MB15">
        <f t="shared" ca="1" si="10"/>
        <v>9.8682745178891977</v>
      </c>
      <c r="MC15">
        <f t="shared" ca="1" si="10"/>
        <v>9.8719383907902447</v>
      </c>
      <c r="MD15">
        <f t="shared" ca="1" si="10"/>
        <v>9.872798127111464</v>
      </c>
      <c r="ME15">
        <f t="shared" ca="1" si="10"/>
        <v>9.8711997580165463</v>
      </c>
      <c r="MF15">
        <f t="shared" ca="1" si="10"/>
        <v>9.8748945682390641</v>
      </c>
      <c r="MG15">
        <f t="shared" ca="1" si="10"/>
        <v>9.8682007147737689</v>
      </c>
      <c r="MH15">
        <f t="shared" ca="1" si="10"/>
        <v>9.8700491241205288</v>
      </c>
      <c r="MI15">
        <f t="shared" ca="1" si="10"/>
        <v>9.8714850279181512</v>
      </c>
      <c r="MJ15">
        <f t="shared" ca="1" si="10"/>
        <v>9.870855172920832</v>
      </c>
      <c r="MK15">
        <f t="shared" ca="1" si="10"/>
        <v>9.8684967749966503</v>
      </c>
      <c r="ML15">
        <f t="shared" ca="1" si="10"/>
        <v>9.8764170783714231</v>
      </c>
      <c r="MM15">
        <f t="shared" ca="1" si="10"/>
        <v>9.8692285464973555</v>
      </c>
      <c r="MN15">
        <f t="shared" ca="1" si="10"/>
        <v>9.86960409286187</v>
      </c>
      <c r="MO15">
        <f t="shared" ca="1" si="10"/>
        <v>9.8704945793108791</v>
      </c>
      <c r="MP15">
        <f t="shared" ca="1" si="10"/>
        <v>9.8708631309711805</v>
      </c>
      <c r="MQ15">
        <f t="shared" ca="1" si="10"/>
        <v>9.8678082226591037</v>
      </c>
      <c r="MR15">
        <f t="shared" ca="1" si="10"/>
        <v>9.8639780818923892</v>
      </c>
      <c r="MS15">
        <f t="shared" ca="1" si="10"/>
        <v>9.8692057195140883</v>
      </c>
      <c r="MT15">
        <f t="shared" ca="1" si="10"/>
        <v>9.8708558449098245</v>
      </c>
      <c r="MU15">
        <f t="shared" ca="1" si="10"/>
        <v>9.8694798123063237</v>
      </c>
      <c r="MV15">
        <f t="shared" ca="1" si="10"/>
        <v>9.8720449917190471</v>
      </c>
      <c r="MW15">
        <f t="shared" ca="1" si="10"/>
        <v>9.8669122852750064</v>
      </c>
      <c r="MX15">
        <f t="shared" ca="1" si="10"/>
        <v>9.8713630699985124</v>
      </c>
      <c r="MY15">
        <f t="shared" ca="1" si="10"/>
        <v>9.8717616483878068</v>
      </c>
      <c r="MZ15">
        <f t="shared" ca="1" si="10"/>
        <v>9.8683778005822411</v>
      </c>
      <c r="NA15">
        <f t="shared" ca="1" si="10"/>
        <v>9.869760915243365</v>
      </c>
      <c r="NB15">
        <f t="shared" ca="1" si="10"/>
        <v>9.8701336003077849</v>
      </c>
      <c r="NC15">
        <f t="shared" ca="1" si="10"/>
        <v>9.8642856328699402</v>
      </c>
      <c r="ND15">
        <f t="shared" ca="1" si="10"/>
        <v>9.8674947460390676</v>
      </c>
      <c r="NE15">
        <f t="shared" ca="1" si="10"/>
        <v>9.8705200921712244</v>
      </c>
      <c r="NF15">
        <f t="shared" ca="1" si="10"/>
        <v>9.8675118918385341</v>
      </c>
      <c r="NG15">
        <f t="shared" ca="1" si="10"/>
        <v>9.8737180006285392</v>
      </c>
      <c r="NH15">
        <f t="shared" ca="1" si="10"/>
        <v>9.8676200799517382</v>
      </c>
      <c r="NI15">
        <f t="shared" ca="1" si="10"/>
        <v>9.8681333854320972</v>
      </c>
      <c r="NJ15">
        <f t="shared" ca="1" si="10"/>
        <v>9.870089468628608</v>
      </c>
      <c r="NK15">
        <f t="shared" ca="1" si="10"/>
        <v>9.8653818667469171</v>
      </c>
      <c r="NL15">
        <f t="shared" ca="1" si="10"/>
        <v>9.8759962676710025</v>
      </c>
      <c r="NM15">
        <f t="shared" ca="1" si="10"/>
        <v>9.8692407794259491</v>
      </c>
      <c r="NN15">
        <f t="shared" ca="1" si="10"/>
        <v>9.8665332703967845</v>
      </c>
      <c r="NO15">
        <f t="shared" ca="1" si="10"/>
        <v>9.8700088676005304</v>
      </c>
      <c r="NP15">
        <f t="shared" ca="1" si="10"/>
        <v>9.8706606986685905</v>
      </c>
      <c r="NQ15">
        <f t="shared" ca="1" si="10"/>
        <v>9.867355476510669</v>
      </c>
      <c r="NR15">
        <f t="shared" ca="1" si="10"/>
        <v>9.8727736026643491</v>
      </c>
      <c r="NS15">
        <f t="shared" ca="1" si="10"/>
        <v>9.8698055401828491</v>
      </c>
      <c r="NT15">
        <f t="shared" ca="1" si="10"/>
        <v>9.8711256727116226</v>
      </c>
      <c r="NU15">
        <f t="shared" ca="1" si="10"/>
        <v>9.8695721437912258</v>
      </c>
      <c r="NV15">
        <f t="shared" ca="1" si="10"/>
        <v>9.8697324904901418</v>
      </c>
      <c r="NW15">
        <f t="shared" ref="NW15:QH21" ca="1" si="11">$B2*EXP(($I2-($H2^2)/2)*(1/52)+$H2*SQRT(1/52)*_xlfn.NORM.INV(RAND(),0,1))</f>
        <v>9.8686724153298773</v>
      </c>
      <c r="NX15">
        <f t="shared" ca="1" si="11"/>
        <v>9.8755822512954978</v>
      </c>
      <c r="NY15">
        <f t="shared" ca="1" si="11"/>
        <v>9.8672824644876727</v>
      </c>
      <c r="NZ15">
        <f t="shared" ca="1" si="11"/>
        <v>9.868606872858118</v>
      </c>
      <c r="OA15">
        <f t="shared" ca="1" si="11"/>
        <v>9.8708305591568912</v>
      </c>
      <c r="OB15">
        <f t="shared" ca="1" si="11"/>
        <v>9.8682119181248087</v>
      </c>
      <c r="OC15">
        <f t="shared" ca="1" si="11"/>
        <v>9.8686254222357164</v>
      </c>
      <c r="OD15">
        <f t="shared" ca="1" si="11"/>
        <v>9.8675492886762033</v>
      </c>
      <c r="OE15">
        <f t="shared" ca="1" si="11"/>
        <v>9.8724869781853091</v>
      </c>
      <c r="OF15">
        <f t="shared" ca="1" si="11"/>
        <v>9.8709849569974502</v>
      </c>
      <c r="OG15">
        <f t="shared" ca="1" si="11"/>
        <v>9.8745793109646094</v>
      </c>
      <c r="OH15">
        <f t="shared" ca="1" si="11"/>
        <v>9.8716489888633632</v>
      </c>
      <c r="OI15">
        <f t="shared" ca="1" si="11"/>
        <v>9.8697755045329885</v>
      </c>
      <c r="OJ15">
        <f t="shared" ca="1" si="11"/>
        <v>9.862457200428814</v>
      </c>
      <c r="OK15">
        <f t="shared" ca="1" si="11"/>
        <v>9.866648942198518</v>
      </c>
      <c r="OL15">
        <f t="shared" ca="1" si="11"/>
        <v>9.8737966813447535</v>
      </c>
      <c r="OM15">
        <f t="shared" ca="1" si="11"/>
        <v>9.8670154798344587</v>
      </c>
      <c r="ON15">
        <f t="shared" ca="1" si="11"/>
        <v>9.8677536113864424</v>
      </c>
      <c r="OO15">
        <f t="shared" ca="1" si="11"/>
        <v>9.8697169573556494</v>
      </c>
      <c r="OP15">
        <f t="shared" ca="1" si="11"/>
        <v>9.8711767024516348</v>
      </c>
      <c r="OQ15">
        <f t="shared" ca="1" si="11"/>
        <v>9.8678718361274154</v>
      </c>
      <c r="OR15">
        <f t="shared" ca="1" si="11"/>
        <v>9.8685010217209808</v>
      </c>
      <c r="OS15">
        <f t="shared" ca="1" si="11"/>
        <v>9.865201215380921</v>
      </c>
      <c r="OT15">
        <f t="shared" ca="1" si="11"/>
        <v>9.8681529960086998</v>
      </c>
      <c r="OU15">
        <f t="shared" ca="1" si="11"/>
        <v>9.8712002600912623</v>
      </c>
      <c r="OV15">
        <f t="shared" ca="1" si="11"/>
        <v>9.8722401491672187</v>
      </c>
      <c r="OW15">
        <f t="shared" ca="1" si="11"/>
        <v>9.8728754180366529</v>
      </c>
      <c r="OX15">
        <f t="shared" ca="1" si="11"/>
        <v>9.8710488112519741</v>
      </c>
      <c r="OY15">
        <f t="shared" ca="1" si="11"/>
        <v>9.8708099956851179</v>
      </c>
      <c r="OZ15">
        <f t="shared" ca="1" si="11"/>
        <v>9.8732493050254426</v>
      </c>
      <c r="PA15">
        <f t="shared" ca="1" si="11"/>
        <v>9.8657956413330226</v>
      </c>
      <c r="PB15">
        <f t="shared" ca="1" si="11"/>
        <v>9.8668741832722482</v>
      </c>
      <c r="PC15">
        <f t="shared" ca="1" si="11"/>
        <v>9.8693380375777089</v>
      </c>
      <c r="PD15">
        <f t="shared" ca="1" si="11"/>
        <v>9.8682961433507863</v>
      </c>
      <c r="PE15">
        <f t="shared" ca="1" si="11"/>
        <v>9.8691283861448849</v>
      </c>
      <c r="PF15">
        <f t="shared" ca="1" si="11"/>
        <v>9.872883175133202</v>
      </c>
      <c r="PG15">
        <f t="shared" ca="1" si="11"/>
        <v>9.8727090634334544</v>
      </c>
      <c r="PH15">
        <f t="shared" ca="1" si="11"/>
        <v>9.8686011417023565</v>
      </c>
      <c r="PI15">
        <f t="shared" ca="1" si="11"/>
        <v>9.8674066173589097</v>
      </c>
      <c r="PJ15">
        <f t="shared" ca="1" si="11"/>
        <v>9.8679710596348595</v>
      </c>
      <c r="PK15">
        <f t="shared" ca="1" si="11"/>
        <v>9.8699113581877942</v>
      </c>
      <c r="PL15">
        <f t="shared" ca="1" si="11"/>
        <v>9.8673128698570309</v>
      </c>
      <c r="PM15">
        <f t="shared" ca="1" si="11"/>
        <v>9.8679716626606311</v>
      </c>
      <c r="PN15">
        <f t="shared" ca="1" si="11"/>
        <v>9.8633316651763945</v>
      </c>
      <c r="PO15">
        <f t="shared" ca="1" si="11"/>
        <v>9.8785695217205483</v>
      </c>
      <c r="PP15">
        <f t="shared" ca="1" si="11"/>
        <v>9.8654926505749572</v>
      </c>
      <c r="PQ15">
        <f t="shared" ca="1" si="11"/>
        <v>9.8648895983743472</v>
      </c>
      <c r="PR15">
        <f t="shared" ca="1" si="11"/>
        <v>9.8702531696967135</v>
      </c>
      <c r="PS15">
        <f t="shared" ca="1" si="11"/>
        <v>9.8713053511939499</v>
      </c>
      <c r="PT15">
        <f t="shared" ca="1" si="11"/>
        <v>9.872474188525187</v>
      </c>
      <c r="PU15">
        <f t="shared" ca="1" si="11"/>
        <v>9.8732437902065602</v>
      </c>
      <c r="PV15">
        <f t="shared" ca="1" si="11"/>
        <v>9.8709767876012915</v>
      </c>
      <c r="PW15">
        <f t="shared" ca="1" si="11"/>
        <v>9.8704423424697723</v>
      </c>
      <c r="PX15">
        <f t="shared" ca="1" si="11"/>
        <v>9.8692073593645642</v>
      </c>
      <c r="PY15">
        <f t="shared" ca="1" si="11"/>
        <v>9.8710372018513297</v>
      </c>
      <c r="PZ15">
        <f t="shared" ca="1" si="11"/>
        <v>9.8647254738028867</v>
      </c>
      <c r="QA15">
        <f t="shared" ca="1" si="11"/>
        <v>9.8719903158021065</v>
      </c>
      <c r="QB15">
        <f t="shared" ca="1" si="11"/>
        <v>9.8666788082074905</v>
      </c>
      <c r="QC15">
        <f t="shared" ca="1" si="11"/>
        <v>9.8765888802476045</v>
      </c>
      <c r="QD15">
        <f t="shared" ca="1" si="11"/>
        <v>9.8707339300653274</v>
      </c>
      <c r="QE15">
        <f t="shared" ca="1" si="11"/>
        <v>9.8722801161497173</v>
      </c>
      <c r="QF15">
        <f t="shared" ca="1" si="11"/>
        <v>9.8688617914247594</v>
      </c>
      <c r="QG15">
        <f t="shared" ca="1" si="11"/>
        <v>9.8679634717778768</v>
      </c>
      <c r="QH15">
        <f t="shared" ca="1" si="11"/>
        <v>9.8613529209571649</v>
      </c>
      <c r="QI15">
        <f t="shared" ref="QI15:SG19" ca="1" si="12">$B2*EXP(($I2-($H2^2)/2)*(1/52)+$H2*SQRT(1/52)*_xlfn.NORM.INV(RAND(),0,1))</f>
        <v>9.8668465520938611</v>
      </c>
      <c r="QJ15">
        <f t="shared" ca="1" si="12"/>
        <v>9.8712374745202016</v>
      </c>
      <c r="QK15">
        <f t="shared" ca="1" si="12"/>
        <v>9.8700488581079941</v>
      </c>
      <c r="QL15">
        <f t="shared" ca="1" si="12"/>
        <v>9.8714307387438236</v>
      </c>
      <c r="QM15">
        <f t="shared" ca="1" si="12"/>
        <v>9.8700464074627554</v>
      </c>
      <c r="QN15">
        <f t="shared" ca="1" si="12"/>
        <v>9.8671434426596143</v>
      </c>
      <c r="QO15">
        <f t="shared" ca="1" si="12"/>
        <v>9.868970017601491</v>
      </c>
      <c r="QP15">
        <f t="shared" ca="1" si="12"/>
        <v>9.8681849735546976</v>
      </c>
      <c r="QQ15">
        <f t="shared" ca="1" si="12"/>
        <v>9.8698231386760025</v>
      </c>
      <c r="QR15">
        <f t="shared" ca="1" si="12"/>
        <v>9.8703076304109008</v>
      </c>
      <c r="QS15">
        <f t="shared" ca="1" si="12"/>
        <v>9.8711064134355642</v>
      </c>
      <c r="QT15">
        <f t="shared" ca="1" si="12"/>
        <v>9.8718260294935032</v>
      </c>
      <c r="QU15">
        <f t="shared" ca="1" si="12"/>
        <v>9.8686209236305444</v>
      </c>
      <c r="QV15">
        <f t="shared" ca="1" si="12"/>
        <v>9.8706384714070197</v>
      </c>
      <c r="QW15">
        <f t="shared" ca="1" si="12"/>
        <v>9.8714117619976243</v>
      </c>
      <c r="QX15">
        <f t="shared" ca="1" si="12"/>
        <v>9.8713251996759315</v>
      </c>
      <c r="QY15">
        <f t="shared" ca="1" si="12"/>
        <v>9.8660722223093735</v>
      </c>
      <c r="QZ15">
        <f t="shared" ca="1" si="12"/>
        <v>9.8696233488224259</v>
      </c>
      <c r="RA15">
        <f t="shared" ca="1" si="12"/>
        <v>9.8698631536882182</v>
      </c>
      <c r="RB15">
        <f t="shared" ca="1" si="12"/>
        <v>9.8670126678877228</v>
      </c>
      <c r="RC15">
        <f t="shared" ca="1" si="12"/>
        <v>9.8662920060067005</v>
      </c>
      <c r="RD15">
        <f t="shared" ca="1" si="12"/>
        <v>9.8707474751842064</v>
      </c>
      <c r="RE15">
        <f t="shared" ca="1" si="12"/>
        <v>9.8723844978157711</v>
      </c>
      <c r="RF15">
        <f t="shared" ca="1" si="12"/>
        <v>9.868883481247531</v>
      </c>
      <c r="RG15">
        <f t="shared" ca="1" si="12"/>
        <v>9.8689313196337913</v>
      </c>
      <c r="RH15">
        <f t="shared" ca="1" si="12"/>
        <v>9.8685135778232862</v>
      </c>
      <c r="RI15">
        <f t="shared" ca="1" si="12"/>
        <v>9.8684550403512592</v>
      </c>
      <c r="RJ15">
        <f t="shared" ca="1" si="12"/>
        <v>9.8692919200722518</v>
      </c>
      <c r="RK15">
        <f t="shared" ca="1" si="12"/>
        <v>9.8709702952359279</v>
      </c>
      <c r="RL15">
        <f t="shared" ca="1" si="12"/>
        <v>9.8703380742623175</v>
      </c>
      <c r="RM15">
        <f t="shared" ca="1" si="12"/>
        <v>9.8704345160660178</v>
      </c>
      <c r="RN15">
        <f t="shared" ca="1" si="12"/>
        <v>9.8680043193616704</v>
      </c>
      <c r="RO15">
        <f t="shared" ca="1" si="12"/>
        <v>9.8714007686889111</v>
      </c>
      <c r="RP15">
        <f t="shared" ca="1" si="12"/>
        <v>9.8725501196345338</v>
      </c>
      <c r="RQ15">
        <f t="shared" ca="1" si="12"/>
        <v>9.8699817131484728</v>
      </c>
      <c r="RR15">
        <f t="shared" ca="1" si="12"/>
        <v>9.8709344446106346</v>
      </c>
      <c r="RS15">
        <f t="shared" ca="1" si="12"/>
        <v>9.8713402107060126</v>
      </c>
      <c r="RT15">
        <f t="shared" ca="1" si="12"/>
        <v>9.8656855507745096</v>
      </c>
      <c r="RU15">
        <f t="shared" ca="1" si="12"/>
        <v>9.8716411404796478</v>
      </c>
      <c r="RV15">
        <f t="shared" ca="1" si="12"/>
        <v>9.8673296252279972</v>
      </c>
      <c r="RW15">
        <f t="shared" ca="1" si="12"/>
        <v>9.8725348268637951</v>
      </c>
      <c r="RX15">
        <f t="shared" ca="1" si="12"/>
        <v>9.872732579758182</v>
      </c>
      <c r="RY15">
        <f t="shared" ca="1" si="12"/>
        <v>9.8718246469488165</v>
      </c>
      <c r="RZ15">
        <f t="shared" ca="1" si="12"/>
        <v>9.8697528583598473</v>
      </c>
      <c r="SA15">
        <f t="shared" ca="1" si="12"/>
        <v>9.8670250668186199</v>
      </c>
      <c r="SB15">
        <f t="shared" ca="1" si="12"/>
        <v>9.8718018077576648</v>
      </c>
      <c r="SC15">
        <f t="shared" ca="1" si="12"/>
        <v>9.871067131337167</v>
      </c>
      <c r="SD15">
        <f t="shared" ca="1" si="12"/>
        <v>9.8693228758228102</v>
      </c>
      <c r="SE15">
        <f t="shared" ca="1" si="12"/>
        <v>9.867182985022847</v>
      </c>
      <c r="SF15">
        <f t="shared" ca="1" si="12"/>
        <v>9.8703093263703678</v>
      </c>
      <c r="SG15">
        <f t="shared" ca="1" si="12"/>
        <v>9.8683674340940932</v>
      </c>
    </row>
    <row r="16" spans="1:501" x14ac:dyDescent="0.3">
      <c r="A16" s="1" t="s">
        <v>89</v>
      </c>
      <c r="B16">
        <f t="shared" ref="B16:Q23" ca="1" si="13">$B3*EXP(($I3-($H3^2)/2)*(1/52)+$H3*SQRT(1/52)*_xlfn.NORM.INV(RAND(),0,1))</f>
        <v>9.7996897331829462</v>
      </c>
      <c r="C16">
        <f t="shared" ca="1" si="13"/>
        <v>9.8015358626502778</v>
      </c>
      <c r="D16">
        <f t="shared" ca="1" si="13"/>
        <v>9.797854667432242</v>
      </c>
      <c r="E16">
        <f t="shared" ca="1" si="13"/>
        <v>9.7994681706263584</v>
      </c>
      <c r="F16">
        <f t="shared" ca="1" si="13"/>
        <v>9.7990421596998658</v>
      </c>
      <c r="G16">
        <f t="shared" ca="1" si="13"/>
        <v>9.803268019520516</v>
      </c>
      <c r="H16">
        <f t="shared" ca="1" si="13"/>
        <v>9.8017614247924829</v>
      </c>
      <c r="I16">
        <f t="shared" ca="1" si="13"/>
        <v>9.8006765677844534</v>
      </c>
      <c r="J16">
        <f t="shared" ca="1" si="13"/>
        <v>9.8026590500056905</v>
      </c>
      <c r="K16">
        <f t="shared" ca="1" si="13"/>
        <v>9.8010024188130807</v>
      </c>
      <c r="L16">
        <f t="shared" ca="1" si="13"/>
        <v>9.7988464910766417</v>
      </c>
      <c r="M16">
        <f t="shared" ca="1" si="13"/>
        <v>9.80100422263531</v>
      </c>
      <c r="N16">
        <f t="shared" ca="1" si="13"/>
        <v>9.7997510326151112</v>
      </c>
      <c r="O16">
        <f t="shared" ca="1" si="13"/>
        <v>9.7968712734696801</v>
      </c>
      <c r="P16">
        <f t="shared" ca="1" si="13"/>
        <v>9.7958647846189653</v>
      </c>
      <c r="Q16">
        <f t="shared" ca="1" si="13"/>
        <v>9.8031751118343102</v>
      </c>
      <c r="R16">
        <f t="shared" ca="1" si="5"/>
        <v>9.7970413809402288</v>
      </c>
      <c r="S16">
        <f t="shared" ca="1" si="5"/>
        <v>9.8023492554689344</v>
      </c>
      <c r="T16">
        <f t="shared" ca="1" si="5"/>
        <v>9.8004479041917243</v>
      </c>
      <c r="U16">
        <f t="shared" ca="1" si="5"/>
        <v>9.7998230070362347</v>
      </c>
      <c r="V16">
        <f t="shared" ca="1" si="5"/>
        <v>9.7962448390206287</v>
      </c>
      <c r="W16">
        <f t="shared" ca="1" si="5"/>
        <v>9.7974438904581795</v>
      </c>
      <c r="X16">
        <f t="shared" ca="1" si="5"/>
        <v>9.8026470734449891</v>
      </c>
      <c r="Y16">
        <f t="shared" ca="1" si="5"/>
        <v>9.7977967405340092</v>
      </c>
      <c r="Z16">
        <f t="shared" ca="1" si="5"/>
        <v>9.8004233390363193</v>
      </c>
      <c r="AA16">
        <f t="shared" ca="1" si="5"/>
        <v>9.7991053612286141</v>
      </c>
      <c r="AB16">
        <f t="shared" ca="1" si="5"/>
        <v>9.8019306292909967</v>
      </c>
      <c r="AC16">
        <f t="shared" ca="1" si="5"/>
        <v>9.8029477590781955</v>
      </c>
      <c r="AD16">
        <f t="shared" ca="1" si="5"/>
        <v>9.7992301795945469</v>
      </c>
      <c r="AE16">
        <f t="shared" ca="1" si="5"/>
        <v>9.8044001684526645</v>
      </c>
      <c r="AF16">
        <f t="shared" ca="1" si="5"/>
        <v>9.8002928306503971</v>
      </c>
      <c r="AG16">
        <f t="shared" ca="1" si="5"/>
        <v>9.7997613280833953</v>
      </c>
      <c r="AH16">
        <f t="shared" ca="1" si="5"/>
        <v>9.7942352579920904</v>
      </c>
      <c r="AI16">
        <f t="shared" ca="1" si="5"/>
        <v>9.8002790406959726</v>
      </c>
      <c r="AJ16">
        <f t="shared" ca="1" si="5"/>
        <v>9.8002255954679995</v>
      </c>
      <c r="AK16">
        <f t="shared" ca="1" si="5"/>
        <v>9.8002343432725034</v>
      </c>
      <c r="AL16">
        <f t="shared" ca="1" si="5"/>
        <v>9.799736638796734</v>
      </c>
      <c r="AM16">
        <f t="shared" ca="1" si="5"/>
        <v>9.800817860650799</v>
      </c>
      <c r="AN16">
        <f t="shared" ca="1" si="5"/>
        <v>9.8014004804120134</v>
      </c>
      <c r="AO16">
        <f t="shared" ca="1" si="5"/>
        <v>9.8027638413263514</v>
      </c>
      <c r="AP16">
        <f t="shared" ca="1" si="5"/>
        <v>9.800137023598765</v>
      </c>
      <c r="AQ16">
        <f t="shared" ca="1" si="5"/>
        <v>9.7994841722085617</v>
      </c>
      <c r="AR16">
        <f t="shared" ca="1" si="5"/>
        <v>9.7974650169283031</v>
      </c>
      <c r="AS16">
        <f t="shared" ca="1" si="5"/>
        <v>9.8013805348436076</v>
      </c>
      <c r="AT16">
        <f t="shared" ca="1" si="5"/>
        <v>9.7982913803529037</v>
      </c>
      <c r="AU16">
        <f t="shared" ca="1" si="5"/>
        <v>9.801788067254213</v>
      </c>
      <c r="AV16">
        <f t="shared" ca="1" si="5"/>
        <v>9.8002747245004382</v>
      </c>
      <c r="AW16">
        <f t="shared" ca="1" si="5"/>
        <v>9.7969138038826671</v>
      </c>
      <c r="AX16">
        <f t="shared" ca="1" si="5"/>
        <v>9.7993331723427168</v>
      </c>
      <c r="AY16">
        <f t="shared" ca="1" si="5"/>
        <v>9.8004417414747174</v>
      </c>
      <c r="AZ16">
        <f t="shared" ca="1" si="5"/>
        <v>9.801766931574539</v>
      </c>
      <c r="BA16">
        <f t="shared" ca="1" si="5"/>
        <v>9.8001605998236805</v>
      </c>
      <c r="BB16">
        <f t="shared" ca="1" si="5"/>
        <v>9.798877302537317</v>
      </c>
      <c r="BC16">
        <f t="shared" ca="1" si="5"/>
        <v>9.8010207242928793</v>
      </c>
      <c r="BD16">
        <f t="shared" ca="1" si="5"/>
        <v>9.8006097553015366</v>
      </c>
      <c r="BE16">
        <f t="shared" ca="1" si="5"/>
        <v>9.8051103753945039</v>
      </c>
      <c r="BF16">
        <f t="shared" ca="1" si="5"/>
        <v>9.8021849514933468</v>
      </c>
      <c r="BG16">
        <f t="shared" ca="1" si="5"/>
        <v>9.7984518795760742</v>
      </c>
      <c r="BH16">
        <f t="shared" ca="1" si="5"/>
        <v>9.801465698132521</v>
      </c>
      <c r="BI16">
        <f t="shared" ca="1" si="5"/>
        <v>9.8003463632174199</v>
      </c>
      <c r="BJ16">
        <f t="shared" ca="1" si="5"/>
        <v>9.8018761879003868</v>
      </c>
      <c r="BK16">
        <f t="shared" ca="1" si="5"/>
        <v>9.8005811706357573</v>
      </c>
      <c r="BL16">
        <f t="shared" ca="1" si="5"/>
        <v>9.8006854722550543</v>
      </c>
      <c r="BM16">
        <f t="shared" ca="1" si="5"/>
        <v>9.8017519343005723</v>
      </c>
      <c r="BN16">
        <f t="shared" ca="1" si="5"/>
        <v>9.7977927686743858</v>
      </c>
      <c r="BO16">
        <f t="shared" ca="1" si="6"/>
        <v>9.7979764912284057</v>
      </c>
      <c r="BP16">
        <f t="shared" ca="1" si="6"/>
        <v>9.7956670165485935</v>
      </c>
      <c r="BQ16">
        <f t="shared" ca="1" si="6"/>
        <v>9.7951067926716089</v>
      </c>
      <c r="BR16">
        <f t="shared" ca="1" si="6"/>
        <v>9.7992409824419138</v>
      </c>
      <c r="BS16">
        <f t="shared" ca="1" si="6"/>
        <v>9.8031928930411834</v>
      </c>
      <c r="BT16">
        <f t="shared" ca="1" si="6"/>
        <v>9.7984894926060253</v>
      </c>
      <c r="BU16">
        <f t="shared" ca="1" si="6"/>
        <v>9.8024868117309829</v>
      </c>
      <c r="BV16">
        <f t="shared" ca="1" si="6"/>
        <v>9.8016821997460735</v>
      </c>
      <c r="BW16">
        <f t="shared" ca="1" si="6"/>
        <v>9.7946472892454626</v>
      </c>
      <c r="BX16">
        <f t="shared" ca="1" si="6"/>
        <v>9.8013289997118385</v>
      </c>
      <c r="BY16">
        <f t="shared" ca="1" si="6"/>
        <v>9.8005439861640156</v>
      </c>
      <c r="BZ16">
        <f t="shared" ca="1" si="6"/>
        <v>9.7998869861525559</v>
      </c>
      <c r="CA16">
        <f t="shared" ca="1" si="6"/>
        <v>9.7994271460944997</v>
      </c>
      <c r="CB16">
        <f t="shared" ca="1" si="6"/>
        <v>9.7995320823523286</v>
      </c>
      <c r="CC16">
        <f t="shared" ca="1" si="6"/>
        <v>9.7959341986192481</v>
      </c>
      <c r="CD16">
        <f t="shared" ca="1" si="6"/>
        <v>9.8061442883337762</v>
      </c>
      <c r="CE16">
        <f t="shared" ca="1" si="6"/>
        <v>9.8003691011461544</v>
      </c>
      <c r="CF16">
        <f t="shared" ca="1" si="6"/>
        <v>9.7947035950230337</v>
      </c>
      <c r="CG16">
        <f t="shared" ca="1" si="6"/>
        <v>9.7984408911547174</v>
      </c>
      <c r="CH16">
        <f t="shared" ca="1" si="6"/>
        <v>9.802292821982018</v>
      </c>
      <c r="CI16">
        <f t="shared" ca="1" si="6"/>
        <v>9.8001437423873696</v>
      </c>
      <c r="CJ16">
        <f t="shared" ca="1" si="6"/>
        <v>9.8009356801666154</v>
      </c>
      <c r="CK16">
        <f t="shared" ca="1" si="6"/>
        <v>9.7986096414082855</v>
      </c>
      <c r="CL16">
        <f t="shared" ca="1" si="6"/>
        <v>9.799308953465026</v>
      </c>
      <c r="CM16">
        <f t="shared" ca="1" si="6"/>
        <v>9.7998362772608498</v>
      </c>
      <c r="CN16">
        <f t="shared" ca="1" si="6"/>
        <v>9.8013274863916795</v>
      </c>
      <c r="CO16">
        <f t="shared" ca="1" si="6"/>
        <v>9.7956403854821676</v>
      </c>
      <c r="CP16">
        <f t="shared" ca="1" si="6"/>
        <v>9.8024037652138087</v>
      </c>
      <c r="CQ16">
        <f t="shared" ca="1" si="6"/>
        <v>9.7989892226089204</v>
      </c>
      <c r="CR16">
        <f t="shared" ca="1" si="6"/>
        <v>9.8021677147377293</v>
      </c>
      <c r="CS16">
        <f t="shared" ca="1" si="6"/>
        <v>9.7978056603270964</v>
      </c>
      <c r="CT16">
        <f t="shared" ca="1" si="6"/>
        <v>9.7993937629044314</v>
      </c>
      <c r="CU16">
        <f t="shared" ca="1" si="6"/>
        <v>9.8004776114562659</v>
      </c>
      <c r="CV16">
        <f t="shared" ca="1" si="6"/>
        <v>9.8028673205908881</v>
      </c>
      <c r="CW16">
        <f t="shared" ca="1" si="6"/>
        <v>9.7987117403120099</v>
      </c>
      <c r="CX16">
        <f t="shared" ca="1" si="6"/>
        <v>9.79947578220923</v>
      </c>
      <c r="CY16">
        <f t="shared" ca="1" si="6"/>
        <v>9.7978141692467382</v>
      </c>
      <c r="CZ16">
        <f t="shared" ca="1" si="6"/>
        <v>9.800327194225229</v>
      </c>
      <c r="DA16">
        <f t="shared" ca="1" si="6"/>
        <v>9.7936911944705898</v>
      </c>
      <c r="DB16">
        <f t="shared" ca="1" si="6"/>
        <v>9.801008213217953</v>
      </c>
      <c r="DC16">
        <f t="shared" ca="1" si="6"/>
        <v>9.796916723331039</v>
      </c>
      <c r="DD16">
        <f t="shared" ca="1" si="6"/>
        <v>9.7998279628088021</v>
      </c>
      <c r="DE16">
        <f t="shared" ca="1" si="6"/>
        <v>9.7990425539592128</v>
      </c>
      <c r="DF16">
        <f t="shared" ca="1" si="6"/>
        <v>9.8017070133210389</v>
      </c>
      <c r="DG16">
        <f t="shared" ca="1" si="6"/>
        <v>9.8032910301143819</v>
      </c>
      <c r="DH16">
        <f t="shared" ca="1" si="6"/>
        <v>9.800024452874343</v>
      </c>
      <c r="DI16">
        <f t="shared" ca="1" si="6"/>
        <v>9.7976502085232138</v>
      </c>
      <c r="DJ16">
        <f t="shared" ca="1" si="6"/>
        <v>9.797741096859383</v>
      </c>
      <c r="DK16">
        <f t="shared" ca="1" si="6"/>
        <v>9.7995188918424727</v>
      </c>
      <c r="DL16">
        <f t="shared" ca="1" si="6"/>
        <v>9.8003644245805575</v>
      </c>
      <c r="DM16">
        <f t="shared" ca="1" si="6"/>
        <v>9.7966664698269295</v>
      </c>
      <c r="DN16">
        <f t="shared" ca="1" si="6"/>
        <v>9.7999116379478277</v>
      </c>
      <c r="DO16">
        <f t="shared" ca="1" si="6"/>
        <v>9.7963006844574547</v>
      </c>
      <c r="DP16">
        <f t="shared" ca="1" si="6"/>
        <v>9.8011860907096739</v>
      </c>
      <c r="DQ16">
        <f t="shared" ca="1" si="6"/>
        <v>9.8026202080672853</v>
      </c>
      <c r="DR16">
        <f t="shared" ca="1" si="6"/>
        <v>9.7964017448899394</v>
      </c>
      <c r="DS16">
        <f t="shared" ca="1" si="6"/>
        <v>9.7985685623308623</v>
      </c>
      <c r="DT16">
        <f t="shared" ca="1" si="6"/>
        <v>9.7955392599683222</v>
      </c>
      <c r="DU16">
        <f t="shared" ca="1" si="6"/>
        <v>9.7948644854282563</v>
      </c>
      <c r="DV16">
        <f t="shared" ca="1" si="6"/>
        <v>9.8004620735589967</v>
      </c>
      <c r="DW16">
        <f t="shared" ca="1" si="6"/>
        <v>9.7995547076374354</v>
      </c>
      <c r="DX16">
        <f t="shared" ca="1" si="6"/>
        <v>9.8009712351826046</v>
      </c>
      <c r="DY16">
        <f t="shared" ca="1" si="6"/>
        <v>9.7923498407898126</v>
      </c>
      <c r="DZ16">
        <f t="shared" ca="1" si="6"/>
        <v>9.7986962188154401</v>
      </c>
      <c r="EA16">
        <f t="shared" ca="1" si="7"/>
        <v>9.799589169185861</v>
      </c>
      <c r="EB16">
        <f t="shared" ca="1" si="7"/>
        <v>9.8014757482413941</v>
      </c>
      <c r="EC16">
        <f t="shared" ca="1" si="7"/>
        <v>9.7973004239541606</v>
      </c>
      <c r="ED16">
        <f t="shared" ca="1" si="7"/>
        <v>9.8015186124293461</v>
      </c>
      <c r="EE16">
        <f t="shared" ca="1" si="7"/>
        <v>9.8016815356610394</v>
      </c>
      <c r="EF16">
        <f t="shared" ca="1" si="7"/>
        <v>9.8010925495871959</v>
      </c>
      <c r="EG16">
        <f t="shared" ca="1" si="7"/>
        <v>9.8002695319643589</v>
      </c>
      <c r="EH16">
        <f t="shared" ca="1" si="7"/>
        <v>9.8012800422593145</v>
      </c>
      <c r="EI16">
        <f t="shared" ca="1" si="7"/>
        <v>9.8011426794296597</v>
      </c>
      <c r="EJ16">
        <f t="shared" ca="1" si="7"/>
        <v>9.7975316292331289</v>
      </c>
      <c r="EK16">
        <f t="shared" ca="1" si="7"/>
        <v>9.7994118928715483</v>
      </c>
      <c r="EL16">
        <f t="shared" ca="1" si="7"/>
        <v>9.8004507214381142</v>
      </c>
      <c r="EM16">
        <f t="shared" ca="1" si="7"/>
        <v>9.7994149481203419</v>
      </c>
      <c r="EN16">
        <f t="shared" ca="1" si="7"/>
        <v>9.79940055235814</v>
      </c>
      <c r="EO16">
        <f t="shared" ca="1" si="7"/>
        <v>9.800439306985945</v>
      </c>
      <c r="EP16">
        <f t="shared" ca="1" si="7"/>
        <v>9.7964323585858146</v>
      </c>
      <c r="EQ16">
        <f t="shared" ca="1" si="7"/>
        <v>9.8024775230640042</v>
      </c>
      <c r="ER16">
        <f t="shared" ca="1" si="7"/>
        <v>9.7981016720138427</v>
      </c>
      <c r="ES16">
        <f t="shared" ca="1" si="7"/>
        <v>9.8012956411452326</v>
      </c>
      <c r="ET16">
        <f t="shared" ca="1" si="7"/>
        <v>9.8040913549339894</v>
      </c>
      <c r="EU16">
        <f t="shared" ca="1" si="7"/>
        <v>9.7977665517609722</v>
      </c>
      <c r="EV16">
        <f t="shared" ca="1" si="7"/>
        <v>9.8042354041682049</v>
      </c>
      <c r="EW16">
        <f t="shared" ca="1" si="7"/>
        <v>9.7997995345792841</v>
      </c>
      <c r="EX16">
        <f t="shared" ca="1" si="7"/>
        <v>9.7955802987005942</v>
      </c>
      <c r="EY16">
        <f t="shared" ca="1" si="7"/>
        <v>9.8027110638171013</v>
      </c>
      <c r="EZ16">
        <f t="shared" ca="1" si="7"/>
        <v>9.8000625471213105</v>
      </c>
      <c r="FA16">
        <f t="shared" ca="1" si="7"/>
        <v>9.7974265273480707</v>
      </c>
      <c r="FB16">
        <f t="shared" ca="1" si="7"/>
        <v>9.7996059407282754</v>
      </c>
      <c r="FC16">
        <f t="shared" ca="1" si="7"/>
        <v>9.7981570653918943</v>
      </c>
      <c r="FD16">
        <f t="shared" ca="1" si="7"/>
        <v>9.8025014429627397</v>
      </c>
      <c r="FE16">
        <f t="shared" ca="1" si="7"/>
        <v>9.798216821897066</v>
      </c>
      <c r="FF16">
        <f t="shared" ca="1" si="7"/>
        <v>9.7992999577409527</v>
      </c>
      <c r="FG16">
        <f t="shared" ca="1" si="7"/>
        <v>9.8054691456531042</v>
      </c>
      <c r="FH16">
        <f t="shared" ca="1" si="7"/>
        <v>9.805746505873465</v>
      </c>
      <c r="FI16">
        <f t="shared" ca="1" si="7"/>
        <v>9.7996578165158557</v>
      </c>
      <c r="FJ16">
        <f t="shared" ca="1" si="7"/>
        <v>9.7994445839602573</v>
      </c>
      <c r="FK16">
        <f t="shared" ca="1" si="7"/>
        <v>9.7999582938137983</v>
      </c>
      <c r="FL16">
        <f t="shared" ca="1" si="7"/>
        <v>9.8019697479696024</v>
      </c>
      <c r="FM16">
        <f t="shared" ca="1" si="7"/>
        <v>9.8029393954417845</v>
      </c>
      <c r="FN16">
        <f t="shared" ca="1" si="7"/>
        <v>9.7976905104034078</v>
      </c>
      <c r="FO16">
        <f t="shared" ca="1" si="7"/>
        <v>9.8048808465195787</v>
      </c>
      <c r="FP16">
        <f t="shared" ca="1" si="7"/>
        <v>9.8027442597364196</v>
      </c>
      <c r="FQ16">
        <f t="shared" ca="1" si="7"/>
        <v>9.7987729531496637</v>
      </c>
      <c r="FR16">
        <f t="shared" ca="1" si="7"/>
        <v>9.8021859383051488</v>
      </c>
      <c r="FS16">
        <f t="shared" ca="1" si="7"/>
        <v>9.7997125920133126</v>
      </c>
      <c r="FT16">
        <f t="shared" ca="1" si="7"/>
        <v>9.8012192161333047</v>
      </c>
      <c r="FU16">
        <f t="shared" ca="1" si="7"/>
        <v>9.8038554421798558</v>
      </c>
      <c r="FV16">
        <f t="shared" ca="1" si="7"/>
        <v>9.8015274286319105</v>
      </c>
      <c r="FW16">
        <f t="shared" ca="1" si="7"/>
        <v>9.7982845181484723</v>
      </c>
      <c r="FX16">
        <f t="shared" ca="1" si="7"/>
        <v>9.7960699433300231</v>
      </c>
      <c r="FY16">
        <f t="shared" ca="1" si="7"/>
        <v>9.8006840833911077</v>
      </c>
      <c r="FZ16">
        <f t="shared" ca="1" si="7"/>
        <v>9.7970655009071574</v>
      </c>
      <c r="GA16">
        <f t="shared" ca="1" si="7"/>
        <v>9.8031579907846425</v>
      </c>
      <c r="GB16">
        <f t="shared" ca="1" si="7"/>
        <v>9.7958610950815377</v>
      </c>
      <c r="GC16">
        <f t="shared" ca="1" si="7"/>
        <v>9.800070822237684</v>
      </c>
      <c r="GD16">
        <f t="shared" ca="1" si="7"/>
        <v>9.8008993310704398</v>
      </c>
      <c r="GE16">
        <f t="shared" ca="1" si="7"/>
        <v>9.7994952294563866</v>
      </c>
      <c r="GF16">
        <f t="shared" ca="1" si="7"/>
        <v>9.7958751055394035</v>
      </c>
      <c r="GG16">
        <f t="shared" ca="1" si="7"/>
        <v>9.7986913209101285</v>
      </c>
      <c r="GH16">
        <f t="shared" ca="1" si="7"/>
        <v>9.802504003542186</v>
      </c>
      <c r="GI16">
        <f t="shared" ca="1" si="7"/>
        <v>9.7995625099552992</v>
      </c>
      <c r="GJ16">
        <f t="shared" ca="1" si="7"/>
        <v>9.8004279738917237</v>
      </c>
      <c r="GK16">
        <f t="shared" ca="1" si="7"/>
        <v>9.7977048235537634</v>
      </c>
      <c r="GL16">
        <f t="shared" ca="1" si="7"/>
        <v>9.7971903376479847</v>
      </c>
      <c r="GM16">
        <f t="shared" ca="1" si="8"/>
        <v>9.7954916922289463</v>
      </c>
      <c r="GN16">
        <f t="shared" ca="1" si="8"/>
        <v>9.8042174045712382</v>
      </c>
      <c r="GO16">
        <f t="shared" ca="1" si="8"/>
        <v>9.7985134410526058</v>
      </c>
      <c r="GP16">
        <f t="shared" ca="1" si="8"/>
        <v>9.7984719204042872</v>
      </c>
      <c r="GQ16">
        <f t="shared" ca="1" si="8"/>
        <v>9.8007919988197081</v>
      </c>
      <c r="GR16">
        <f t="shared" ca="1" si="8"/>
        <v>9.794993389844139</v>
      </c>
      <c r="GS16">
        <f t="shared" ca="1" si="8"/>
        <v>9.8039146312572765</v>
      </c>
      <c r="GT16">
        <f t="shared" ca="1" si="8"/>
        <v>9.7988079312363787</v>
      </c>
      <c r="GU16">
        <f t="shared" ca="1" si="8"/>
        <v>9.8029698284758116</v>
      </c>
      <c r="GV16">
        <f t="shared" ca="1" si="8"/>
        <v>9.8022469354314001</v>
      </c>
      <c r="GW16">
        <f t="shared" ca="1" si="8"/>
        <v>9.7985969188432431</v>
      </c>
      <c r="GX16">
        <f t="shared" ca="1" si="8"/>
        <v>9.8030070583165756</v>
      </c>
      <c r="GY16">
        <f t="shared" ca="1" si="8"/>
        <v>9.8004322355535241</v>
      </c>
      <c r="GZ16">
        <f t="shared" ca="1" si="8"/>
        <v>9.8023057654897361</v>
      </c>
      <c r="HA16">
        <f t="shared" ca="1" si="8"/>
        <v>9.795430806074549</v>
      </c>
      <c r="HB16">
        <f t="shared" ca="1" si="8"/>
        <v>9.7973559637434064</v>
      </c>
      <c r="HC16">
        <f t="shared" ca="1" si="8"/>
        <v>9.7965291909037049</v>
      </c>
      <c r="HD16">
        <f t="shared" ca="1" si="8"/>
        <v>9.8015388626443603</v>
      </c>
      <c r="HE16">
        <f t="shared" ca="1" si="8"/>
        <v>9.7994776122106177</v>
      </c>
      <c r="HF16">
        <f t="shared" ca="1" si="8"/>
        <v>9.7985257587663845</v>
      </c>
      <c r="HG16">
        <f t="shared" ca="1" si="8"/>
        <v>9.7996452176292053</v>
      </c>
      <c r="HH16">
        <f t="shared" ca="1" si="8"/>
        <v>9.7974869752193463</v>
      </c>
      <c r="HI16">
        <f t="shared" ca="1" si="8"/>
        <v>9.8008286449695312</v>
      </c>
      <c r="HJ16">
        <f t="shared" ca="1" si="8"/>
        <v>9.7971857687694026</v>
      </c>
      <c r="HK16">
        <f t="shared" ca="1" si="8"/>
        <v>9.8032311003552444</v>
      </c>
      <c r="HL16">
        <f t="shared" ca="1" si="8"/>
        <v>9.7953266084669313</v>
      </c>
      <c r="HM16">
        <f t="shared" ca="1" si="8"/>
        <v>9.7964658085346841</v>
      </c>
      <c r="HN16">
        <f t="shared" ca="1" si="8"/>
        <v>9.7991983201412491</v>
      </c>
      <c r="HO16">
        <f t="shared" ca="1" si="8"/>
        <v>9.7999095720625746</v>
      </c>
      <c r="HP16">
        <f t="shared" ca="1" si="8"/>
        <v>9.8030984631216445</v>
      </c>
      <c r="HQ16">
        <f t="shared" ca="1" si="8"/>
        <v>9.7991760838716608</v>
      </c>
      <c r="HR16">
        <f t="shared" ca="1" si="8"/>
        <v>9.8008083652298659</v>
      </c>
      <c r="HS16">
        <f t="shared" ca="1" si="8"/>
        <v>9.801658294638024</v>
      </c>
      <c r="HT16">
        <f t="shared" ca="1" si="8"/>
        <v>9.7962012313487676</v>
      </c>
      <c r="HU16">
        <f t="shared" ca="1" si="8"/>
        <v>9.7994709098730315</v>
      </c>
      <c r="HV16">
        <f t="shared" ca="1" si="8"/>
        <v>9.7987629866483239</v>
      </c>
      <c r="HW16">
        <f t="shared" ca="1" si="8"/>
        <v>9.7969414740721117</v>
      </c>
      <c r="HX16">
        <f t="shared" ca="1" si="8"/>
        <v>9.7943431077919598</v>
      </c>
      <c r="HY16">
        <f t="shared" ca="1" si="8"/>
        <v>9.8020342118442532</v>
      </c>
      <c r="HZ16">
        <f t="shared" ca="1" si="8"/>
        <v>9.7985005316728593</v>
      </c>
      <c r="IA16">
        <f t="shared" ca="1" si="8"/>
        <v>9.7993835621663727</v>
      </c>
      <c r="IB16">
        <f t="shared" ca="1" si="8"/>
        <v>9.7984296636068393</v>
      </c>
      <c r="IC16">
        <f t="shared" ca="1" si="8"/>
        <v>9.7970588850638123</v>
      </c>
      <c r="ID16">
        <f t="shared" ca="1" si="8"/>
        <v>9.8012851319762966</v>
      </c>
      <c r="IE16">
        <f t="shared" ca="1" si="8"/>
        <v>9.801813239436898</v>
      </c>
      <c r="IF16">
        <f t="shared" ca="1" si="8"/>
        <v>9.8029288503523322</v>
      </c>
      <c r="IG16">
        <f t="shared" ca="1" si="8"/>
        <v>9.7987349907148023</v>
      </c>
      <c r="IH16">
        <f t="shared" ca="1" si="8"/>
        <v>9.8043668223616631</v>
      </c>
      <c r="II16">
        <f t="shared" ca="1" si="8"/>
        <v>9.7988602866898358</v>
      </c>
      <c r="IJ16">
        <f t="shared" ca="1" si="8"/>
        <v>9.7977024257070884</v>
      </c>
      <c r="IK16">
        <f t="shared" ca="1" si="8"/>
        <v>9.8018872434134749</v>
      </c>
      <c r="IL16">
        <f t="shared" ca="1" si="8"/>
        <v>9.8018405089648404</v>
      </c>
      <c r="IM16">
        <f t="shared" ca="1" si="8"/>
        <v>9.796744764855486</v>
      </c>
      <c r="IN16">
        <f t="shared" ca="1" si="8"/>
        <v>9.7968248402841596</v>
      </c>
      <c r="IO16">
        <f t="shared" ca="1" si="8"/>
        <v>9.7988102230831071</v>
      </c>
      <c r="IP16">
        <f t="shared" ca="1" si="8"/>
        <v>9.7960530187833648</v>
      </c>
      <c r="IQ16">
        <f t="shared" ca="1" si="8"/>
        <v>9.8021728433778748</v>
      </c>
      <c r="IR16">
        <f t="shared" ca="1" si="8"/>
        <v>9.8044077464139487</v>
      </c>
      <c r="IS16">
        <f t="shared" ca="1" si="8"/>
        <v>9.797582095246737</v>
      </c>
      <c r="IT16">
        <f t="shared" ca="1" si="8"/>
        <v>9.796943631209686</v>
      </c>
      <c r="IU16">
        <f t="shared" ca="1" si="8"/>
        <v>9.7998305902235323</v>
      </c>
      <c r="IV16">
        <f t="shared" ca="1" si="8"/>
        <v>9.7960341562854136</v>
      </c>
      <c r="IW16">
        <f t="shared" ca="1" si="8"/>
        <v>9.800862954941806</v>
      </c>
      <c r="IX16">
        <f t="shared" ca="1" si="8"/>
        <v>9.7970922765569881</v>
      </c>
      <c r="IY16">
        <f t="shared" ca="1" si="9"/>
        <v>9.8008587634384625</v>
      </c>
      <c r="IZ16">
        <f t="shared" ca="1" si="9"/>
        <v>9.803597679853377</v>
      </c>
      <c r="JA16">
        <f t="shared" ca="1" si="9"/>
        <v>9.800220245175252</v>
      </c>
      <c r="JB16">
        <f t="shared" ca="1" si="9"/>
        <v>9.8022694898979168</v>
      </c>
      <c r="JC16">
        <f t="shared" ca="1" si="9"/>
        <v>9.8021209574347665</v>
      </c>
      <c r="JD16">
        <f t="shared" ca="1" si="9"/>
        <v>9.7974465281367049</v>
      </c>
      <c r="JE16">
        <f t="shared" ca="1" si="9"/>
        <v>9.8019578341298814</v>
      </c>
      <c r="JF16">
        <f t="shared" ca="1" si="9"/>
        <v>9.8001403448540927</v>
      </c>
      <c r="JG16">
        <f t="shared" ca="1" si="9"/>
        <v>9.803665388544978</v>
      </c>
      <c r="JH16">
        <f t="shared" ca="1" si="9"/>
        <v>9.8039018807456184</v>
      </c>
      <c r="JI16">
        <f t="shared" ca="1" si="9"/>
        <v>9.7983483035253158</v>
      </c>
      <c r="JJ16">
        <f t="shared" ca="1" si="9"/>
        <v>9.7993656881192699</v>
      </c>
      <c r="JK16">
        <f t="shared" ca="1" si="9"/>
        <v>9.7952096253607799</v>
      </c>
      <c r="JL16">
        <f t="shared" ca="1" si="9"/>
        <v>9.7956469697815169</v>
      </c>
      <c r="JM16">
        <f t="shared" ca="1" si="9"/>
        <v>9.8000550178128343</v>
      </c>
      <c r="JN16">
        <f t="shared" ca="1" si="9"/>
        <v>9.8021593202955746</v>
      </c>
      <c r="JO16">
        <f t="shared" ca="1" si="9"/>
        <v>9.8015188184871285</v>
      </c>
      <c r="JP16">
        <f t="shared" ca="1" si="9"/>
        <v>9.7986977973671525</v>
      </c>
      <c r="JQ16">
        <f t="shared" ca="1" si="9"/>
        <v>9.7963735102978706</v>
      </c>
      <c r="JR16">
        <f t="shared" ca="1" si="9"/>
        <v>9.8014633588118141</v>
      </c>
      <c r="JS16">
        <f t="shared" ca="1" si="9"/>
        <v>9.8020581479909179</v>
      </c>
      <c r="JT16">
        <f t="shared" ca="1" si="9"/>
        <v>9.7947810801495372</v>
      </c>
      <c r="JU16">
        <f t="shared" ca="1" si="9"/>
        <v>9.8067445599908698</v>
      </c>
      <c r="JV16">
        <f t="shared" ca="1" si="9"/>
        <v>9.7958534714551853</v>
      </c>
      <c r="JW16">
        <f t="shared" ca="1" si="9"/>
        <v>9.7983346556342834</v>
      </c>
      <c r="JX16">
        <f t="shared" ca="1" si="9"/>
        <v>9.7978916381618344</v>
      </c>
      <c r="JY16">
        <f t="shared" ca="1" si="9"/>
        <v>9.7995928564115697</v>
      </c>
      <c r="JZ16">
        <f t="shared" ca="1" si="9"/>
        <v>9.794672985428841</v>
      </c>
      <c r="KA16">
        <f t="shared" ca="1" si="9"/>
        <v>9.7997318629227959</v>
      </c>
      <c r="KB16">
        <f t="shared" ca="1" si="9"/>
        <v>9.7992415222504636</v>
      </c>
      <c r="KC16">
        <f t="shared" ca="1" si="9"/>
        <v>9.8006011593856943</v>
      </c>
      <c r="KD16">
        <f t="shared" ca="1" si="9"/>
        <v>9.7993318397364444</v>
      </c>
      <c r="KE16">
        <f t="shared" ca="1" si="9"/>
        <v>9.8000521870111399</v>
      </c>
      <c r="KF16">
        <f t="shared" ca="1" si="9"/>
        <v>9.8002292040275023</v>
      </c>
      <c r="KG16">
        <f t="shared" ca="1" si="9"/>
        <v>9.8011365944950199</v>
      </c>
      <c r="KH16">
        <f t="shared" ca="1" si="9"/>
        <v>9.7971812709868722</v>
      </c>
      <c r="KI16">
        <f t="shared" ca="1" si="9"/>
        <v>9.7952652842523946</v>
      </c>
      <c r="KJ16">
        <f t="shared" ca="1" si="9"/>
        <v>9.7939425073233046</v>
      </c>
      <c r="KK16">
        <f t="shared" ca="1" si="9"/>
        <v>9.7979031951310365</v>
      </c>
      <c r="KL16">
        <f t="shared" ca="1" si="9"/>
        <v>9.7997110265495753</v>
      </c>
      <c r="KM16">
        <f t="shared" ca="1" si="9"/>
        <v>9.795803193610416</v>
      </c>
      <c r="KN16">
        <f t="shared" ca="1" si="9"/>
        <v>9.800379865097959</v>
      </c>
      <c r="KO16">
        <f t="shared" ca="1" si="9"/>
        <v>9.8001434145199848</v>
      </c>
      <c r="KP16">
        <f t="shared" ca="1" si="9"/>
        <v>9.8010016234462736</v>
      </c>
      <c r="KQ16">
        <f t="shared" ca="1" si="9"/>
        <v>9.8030525801142971</v>
      </c>
      <c r="KR16">
        <f t="shared" ca="1" si="9"/>
        <v>9.801037400790376</v>
      </c>
      <c r="KS16">
        <f t="shared" ca="1" si="9"/>
        <v>9.7985397440602426</v>
      </c>
      <c r="KT16">
        <f t="shared" ca="1" si="9"/>
        <v>9.7986928207078279</v>
      </c>
      <c r="KU16">
        <f t="shared" ca="1" si="9"/>
        <v>9.7985059481237435</v>
      </c>
      <c r="KV16">
        <f t="shared" ca="1" si="9"/>
        <v>9.7991705395151829</v>
      </c>
      <c r="KW16">
        <f t="shared" ca="1" si="9"/>
        <v>9.7982516713941781</v>
      </c>
      <c r="KX16">
        <f t="shared" ca="1" si="9"/>
        <v>9.8041192429626616</v>
      </c>
      <c r="KY16">
        <f t="shared" ca="1" si="9"/>
        <v>9.795647888247327</v>
      </c>
      <c r="KZ16">
        <f t="shared" ca="1" si="9"/>
        <v>9.800587200418029</v>
      </c>
      <c r="LA16">
        <f t="shared" ca="1" si="9"/>
        <v>9.7979827362417193</v>
      </c>
      <c r="LB16">
        <f t="shared" ca="1" si="9"/>
        <v>9.8034783983000668</v>
      </c>
      <c r="LC16">
        <f t="shared" ca="1" si="9"/>
        <v>9.8008757980861567</v>
      </c>
      <c r="LD16">
        <f t="shared" ca="1" si="9"/>
        <v>9.7993706348163343</v>
      </c>
      <c r="LE16">
        <f t="shared" ca="1" si="9"/>
        <v>9.7974706456215817</v>
      </c>
      <c r="LF16">
        <f t="shared" ca="1" si="9"/>
        <v>9.7982191601253454</v>
      </c>
      <c r="LG16">
        <f t="shared" ca="1" si="9"/>
        <v>9.7974299082068264</v>
      </c>
      <c r="LH16">
        <f t="shared" ca="1" si="9"/>
        <v>9.8030958066226415</v>
      </c>
      <c r="LI16">
        <f t="shared" ca="1" si="9"/>
        <v>9.7961142424092902</v>
      </c>
      <c r="LJ16">
        <f t="shared" ca="1" si="9"/>
        <v>9.8015307270480605</v>
      </c>
      <c r="LK16">
        <f t="shared" ca="1" si="10"/>
        <v>9.7977388137392776</v>
      </c>
      <c r="LL16">
        <f t="shared" ca="1" si="10"/>
        <v>9.8014354833792972</v>
      </c>
      <c r="LM16">
        <f t="shared" ca="1" si="10"/>
        <v>9.7988535854983301</v>
      </c>
      <c r="LN16">
        <f t="shared" ca="1" si="10"/>
        <v>9.8024699997700786</v>
      </c>
      <c r="LO16">
        <f t="shared" ca="1" si="10"/>
        <v>9.7996031222682198</v>
      </c>
      <c r="LP16">
        <f t="shared" ca="1" si="10"/>
        <v>9.7972588554018305</v>
      </c>
      <c r="LQ16">
        <f t="shared" ca="1" si="10"/>
        <v>9.7960366030354216</v>
      </c>
      <c r="LR16">
        <f t="shared" ca="1" si="10"/>
        <v>9.7953017901493826</v>
      </c>
      <c r="LS16">
        <f t="shared" ca="1" si="10"/>
        <v>9.7942051426993615</v>
      </c>
      <c r="LT16">
        <f t="shared" ca="1" si="10"/>
        <v>9.7921079922192256</v>
      </c>
      <c r="LU16">
        <f t="shared" ca="1" si="10"/>
        <v>9.7985858458595878</v>
      </c>
      <c r="LV16">
        <f t="shared" ca="1" si="10"/>
        <v>9.8022208378052476</v>
      </c>
      <c r="LW16">
        <f t="shared" ca="1" si="10"/>
        <v>9.7940365566414727</v>
      </c>
      <c r="LX16">
        <f t="shared" ca="1" si="10"/>
        <v>9.7986804662716001</v>
      </c>
      <c r="LY16">
        <f t="shared" ca="1" si="10"/>
        <v>9.7943318408397566</v>
      </c>
      <c r="LZ16">
        <f t="shared" ca="1" si="10"/>
        <v>9.7996113974514767</v>
      </c>
      <c r="MA16">
        <f t="shared" ca="1" si="10"/>
        <v>9.7992858155185392</v>
      </c>
      <c r="MB16">
        <f t="shared" ca="1" si="10"/>
        <v>9.796400282693126</v>
      </c>
      <c r="MC16">
        <f t="shared" ca="1" si="10"/>
        <v>9.7979145064468653</v>
      </c>
      <c r="MD16">
        <f t="shared" ca="1" si="10"/>
        <v>9.799081269632687</v>
      </c>
      <c r="ME16">
        <f t="shared" ca="1" si="10"/>
        <v>9.7991429389055984</v>
      </c>
      <c r="MF16">
        <f t="shared" ca="1" si="10"/>
        <v>9.8014455933565969</v>
      </c>
      <c r="MG16">
        <f t="shared" ca="1" si="10"/>
        <v>9.7943772739912855</v>
      </c>
      <c r="MH16">
        <f t="shared" ca="1" si="10"/>
        <v>9.799959556679875</v>
      </c>
      <c r="MI16">
        <f t="shared" ca="1" si="10"/>
        <v>9.7988246373395747</v>
      </c>
      <c r="MJ16">
        <f t="shared" ca="1" si="10"/>
        <v>9.7987637869713158</v>
      </c>
      <c r="MK16">
        <f t="shared" ca="1" si="10"/>
        <v>9.799013781649025</v>
      </c>
      <c r="ML16">
        <f t="shared" ca="1" si="10"/>
        <v>9.7959390771703152</v>
      </c>
      <c r="MM16">
        <f t="shared" ca="1" si="10"/>
        <v>9.8001248812295678</v>
      </c>
      <c r="MN16">
        <f t="shared" ca="1" si="10"/>
        <v>9.7984435768636864</v>
      </c>
      <c r="MO16">
        <f t="shared" ca="1" si="10"/>
        <v>9.7975610307464098</v>
      </c>
      <c r="MP16">
        <f t="shared" ca="1" si="10"/>
        <v>9.7951350864209665</v>
      </c>
      <c r="MQ16">
        <f t="shared" ca="1" si="10"/>
        <v>9.7997731540376787</v>
      </c>
      <c r="MR16">
        <f t="shared" ca="1" si="10"/>
        <v>9.8022732110121922</v>
      </c>
      <c r="MS16">
        <f t="shared" ca="1" si="10"/>
        <v>9.7980509170101033</v>
      </c>
      <c r="MT16">
        <f t="shared" ca="1" si="10"/>
        <v>9.7994635979478755</v>
      </c>
      <c r="MU16">
        <f t="shared" ca="1" si="10"/>
        <v>9.8031902569134814</v>
      </c>
      <c r="MV16">
        <f t="shared" ca="1" si="10"/>
        <v>9.7996084442761138</v>
      </c>
      <c r="MW16">
        <f t="shared" ca="1" si="10"/>
        <v>9.7998275106493224</v>
      </c>
      <c r="MX16">
        <f t="shared" ca="1" si="10"/>
        <v>9.8015590239933701</v>
      </c>
      <c r="MY16">
        <f t="shared" ca="1" si="10"/>
        <v>9.7968760580515877</v>
      </c>
      <c r="MZ16">
        <f t="shared" ca="1" si="10"/>
        <v>9.8023627055943123</v>
      </c>
      <c r="NA16">
        <f t="shared" ca="1" si="10"/>
        <v>9.8025457968731295</v>
      </c>
      <c r="NB16">
        <f t="shared" ca="1" si="10"/>
        <v>9.7975968858098668</v>
      </c>
      <c r="NC16">
        <f t="shared" ca="1" si="10"/>
        <v>9.8005118540698675</v>
      </c>
      <c r="ND16">
        <f t="shared" ca="1" si="10"/>
        <v>9.8031416002100684</v>
      </c>
      <c r="NE16">
        <f t="shared" ca="1" si="10"/>
        <v>9.8007080594545961</v>
      </c>
      <c r="NF16">
        <f t="shared" ca="1" si="10"/>
        <v>9.8022258774713862</v>
      </c>
      <c r="NG16">
        <f t="shared" ca="1" si="10"/>
        <v>9.7987673232450678</v>
      </c>
      <c r="NH16">
        <f t="shared" ca="1" si="10"/>
        <v>9.800891560588477</v>
      </c>
      <c r="NI16">
        <f t="shared" ca="1" si="10"/>
        <v>9.8000299100370061</v>
      </c>
      <c r="NJ16">
        <f t="shared" ca="1" si="10"/>
        <v>9.7966665576591474</v>
      </c>
      <c r="NK16">
        <f t="shared" ca="1" si="10"/>
        <v>9.8001575223299415</v>
      </c>
      <c r="NL16">
        <f t="shared" ca="1" si="10"/>
        <v>9.80136439983057</v>
      </c>
      <c r="NM16">
        <f t="shared" ca="1" si="10"/>
        <v>9.799498666166329</v>
      </c>
      <c r="NN16">
        <f t="shared" ca="1" si="10"/>
        <v>9.7979008884805356</v>
      </c>
      <c r="NO16">
        <f t="shared" ca="1" si="10"/>
        <v>9.7958376150750812</v>
      </c>
      <c r="NP16">
        <f t="shared" ca="1" si="10"/>
        <v>9.8002048669651423</v>
      </c>
      <c r="NQ16">
        <f t="shared" ca="1" si="10"/>
        <v>9.8020493851983819</v>
      </c>
      <c r="NR16">
        <f t="shared" ca="1" si="10"/>
        <v>9.8014151095603665</v>
      </c>
      <c r="NS16">
        <f t="shared" ca="1" si="10"/>
        <v>9.7972360705036046</v>
      </c>
      <c r="NT16">
        <f t="shared" ca="1" si="10"/>
        <v>9.799786041038729</v>
      </c>
      <c r="NU16">
        <f t="shared" ca="1" si="10"/>
        <v>9.798875394672125</v>
      </c>
      <c r="NV16">
        <f t="shared" ca="1" si="10"/>
        <v>9.8047159475152768</v>
      </c>
      <c r="NW16">
        <f t="shared" ca="1" si="11"/>
        <v>9.8073815719574053</v>
      </c>
      <c r="NX16">
        <f t="shared" ca="1" si="11"/>
        <v>9.7977270576657798</v>
      </c>
      <c r="NY16">
        <f t="shared" ca="1" si="11"/>
        <v>9.8004670974308024</v>
      </c>
      <c r="NZ16">
        <f t="shared" ca="1" si="11"/>
        <v>9.8009615156930305</v>
      </c>
      <c r="OA16">
        <f t="shared" ca="1" si="11"/>
        <v>9.8024048745344263</v>
      </c>
      <c r="OB16">
        <f t="shared" ca="1" si="11"/>
        <v>9.7917161562445809</v>
      </c>
      <c r="OC16">
        <f t="shared" ca="1" si="11"/>
        <v>9.7971675283805428</v>
      </c>
      <c r="OD16">
        <f t="shared" ca="1" si="11"/>
        <v>9.7999714099952691</v>
      </c>
      <c r="OE16">
        <f t="shared" ca="1" si="11"/>
        <v>9.8028059102774954</v>
      </c>
      <c r="OF16">
        <f t="shared" ca="1" si="11"/>
        <v>9.7997665443597999</v>
      </c>
      <c r="OG16">
        <f t="shared" ca="1" si="11"/>
        <v>9.7994898280477702</v>
      </c>
      <c r="OH16">
        <f t="shared" ca="1" si="11"/>
        <v>9.8052329679179504</v>
      </c>
      <c r="OI16">
        <f t="shared" ca="1" si="11"/>
        <v>9.7980811705881479</v>
      </c>
      <c r="OJ16">
        <f t="shared" ca="1" si="11"/>
        <v>9.7984810027577982</v>
      </c>
      <c r="OK16">
        <f t="shared" ca="1" si="11"/>
        <v>9.8022334872012671</v>
      </c>
      <c r="OL16">
        <f t="shared" ca="1" si="11"/>
        <v>9.799741986926886</v>
      </c>
      <c r="OM16">
        <f t="shared" ca="1" si="11"/>
        <v>9.7987743818519562</v>
      </c>
      <c r="ON16">
        <f t="shared" ca="1" si="11"/>
        <v>9.7995977480033432</v>
      </c>
      <c r="OO16">
        <f t="shared" ca="1" si="11"/>
        <v>9.8000329752873139</v>
      </c>
      <c r="OP16">
        <f t="shared" ca="1" si="11"/>
        <v>9.8003241191275023</v>
      </c>
      <c r="OQ16">
        <f t="shared" ca="1" si="11"/>
        <v>9.8020678416244653</v>
      </c>
      <c r="OR16">
        <f t="shared" ca="1" si="11"/>
        <v>9.7956308727329766</v>
      </c>
      <c r="OS16">
        <f t="shared" ca="1" si="11"/>
        <v>9.8004257898112819</v>
      </c>
      <c r="OT16">
        <f t="shared" ca="1" si="11"/>
        <v>9.7968948840442902</v>
      </c>
      <c r="OU16">
        <f t="shared" ca="1" si="11"/>
        <v>9.7989159863664366</v>
      </c>
      <c r="OV16">
        <f t="shared" ca="1" si="11"/>
        <v>9.8007620049722721</v>
      </c>
      <c r="OW16">
        <f t="shared" ca="1" si="11"/>
        <v>9.7943359361014846</v>
      </c>
      <c r="OX16">
        <f t="shared" ca="1" si="11"/>
        <v>9.7961395769568718</v>
      </c>
      <c r="OY16">
        <f t="shared" ca="1" si="11"/>
        <v>9.7987950938396349</v>
      </c>
      <c r="OZ16">
        <f t="shared" ca="1" si="11"/>
        <v>9.797485925328008</v>
      </c>
      <c r="PA16">
        <f t="shared" ca="1" si="11"/>
        <v>9.7968289258626466</v>
      </c>
      <c r="PB16">
        <f t="shared" ca="1" si="11"/>
        <v>9.8006783408996796</v>
      </c>
      <c r="PC16">
        <f t="shared" ca="1" si="11"/>
        <v>9.7969110430464941</v>
      </c>
      <c r="PD16">
        <f t="shared" ca="1" si="11"/>
        <v>9.7992698762867807</v>
      </c>
      <c r="PE16">
        <f t="shared" ca="1" si="11"/>
        <v>9.8006311922203491</v>
      </c>
      <c r="PF16">
        <f t="shared" ca="1" si="11"/>
        <v>9.8009202506669553</v>
      </c>
      <c r="PG16">
        <f t="shared" ca="1" si="11"/>
        <v>9.8040754686236493</v>
      </c>
      <c r="PH16">
        <f t="shared" ca="1" si="11"/>
        <v>9.8018625966274495</v>
      </c>
      <c r="PI16">
        <f t="shared" ca="1" si="11"/>
        <v>9.8038793768293555</v>
      </c>
      <c r="PJ16">
        <f t="shared" ca="1" si="11"/>
        <v>9.7983189341441346</v>
      </c>
      <c r="PK16">
        <f t="shared" ca="1" si="11"/>
        <v>9.7988491431612417</v>
      </c>
      <c r="PL16">
        <f t="shared" ca="1" si="11"/>
        <v>9.8027004896716079</v>
      </c>
      <c r="PM16">
        <f t="shared" ca="1" si="11"/>
        <v>9.7974512347466796</v>
      </c>
      <c r="PN16">
        <f t="shared" ca="1" si="11"/>
        <v>9.8046818016352866</v>
      </c>
      <c r="PO16">
        <f t="shared" ca="1" si="11"/>
        <v>9.8009585455884949</v>
      </c>
      <c r="PP16">
        <f t="shared" ca="1" si="11"/>
        <v>9.7984345599119766</v>
      </c>
      <c r="PQ16">
        <f t="shared" ca="1" si="11"/>
        <v>9.8014768891809556</v>
      </c>
      <c r="PR16">
        <f t="shared" ca="1" si="11"/>
        <v>9.7986290694969203</v>
      </c>
      <c r="PS16">
        <f t="shared" ca="1" si="11"/>
        <v>9.7987657867216296</v>
      </c>
      <c r="PT16">
        <f t="shared" ca="1" si="11"/>
        <v>9.7939419426501004</v>
      </c>
      <c r="PU16">
        <f t="shared" ca="1" si="11"/>
        <v>9.7973448525988598</v>
      </c>
      <c r="PV16">
        <f t="shared" ca="1" si="11"/>
        <v>9.8026112332076263</v>
      </c>
      <c r="PW16">
        <f t="shared" ca="1" si="11"/>
        <v>9.7962780229115562</v>
      </c>
      <c r="PX16">
        <f t="shared" ca="1" si="11"/>
        <v>9.7969523117302</v>
      </c>
      <c r="PY16">
        <f t="shared" ca="1" si="11"/>
        <v>9.8035152044255049</v>
      </c>
      <c r="PZ16">
        <f t="shared" ca="1" si="11"/>
        <v>9.7989986893397916</v>
      </c>
      <c r="QA16">
        <f t="shared" ca="1" si="11"/>
        <v>9.8015993217934145</v>
      </c>
      <c r="QB16">
        <f t="shared" ca="1" si="11"/>
        <v>9.7959811693657723</v>
      </c>
      <c r="QC16">
        <f t="shared" ca="1" si="11"/>
        <v>9.797831226509393</v>
      </c>
      <c r="QD16">
        <f t="shared" ca="1" si="11"/>
        <v>9.799705475887194</v>
      </c>
      <c r="QE16">
        <f t="shared" ca="1" si="11"/>
        <v>9.7977454005747759</v>
      </c>
      <c r="QF16">
        <f t="shared" ca="1" si="11"/>
        <v>9.8000140628254275</v>
      </c>
      <c r="QG16">
        <f t="shared" ca="1" si="11"/>
        <v>9.8046683237790848</v>
      </c>
      <c r="QH16">
        <f t="shared" ca="1" si="11"/>
        <v>9.7990427873624064</v>
      </c>
      <c r="QI16">
        <f t="shared" ca="1" si="12"/>
        <v>9.8011898009033658</v>
      </c>
      <c r="QJ16">
        <f t="shared" ca="1" si="12"/>
        <v>9.7955439958170327</v>
      </c>
      <c r="QK16">
        <f t="shared" ca="1" si="12"/>
        <v>9.7991430676868561</v>
      </c>
      <c r="QL16">
        <f t="shared" ca="1" si="12"/>
        <v>9.8004351875728268</v>
      </c>
      <c r="QM16">
        <f t="shared" ca="1" si="12"/>
        <v>9.795668839644053</v>
      </c>
      <c r="QN16">
        <f t="shared" ca="1" si="12"/>
        <v>9.8011426614363035</v>
      </c>
      <c r="QO16">
        <f t="shared" ca="1" si="12"/>
        <v>9.8001653286813539</v>
      </c>
      <c r="QP16">
        <f t="shared" ca="1" si="12"/>
        <v>9.8044688336109598</v>
      </c>
      <c r="QQ16">
        <f t="shared" ca="1" si="12"/>
        <v>9.8035033089763495</v>
      </c>
      <c r="QR16">
        <f t="shared" ca="1" si="12"/>
        <v>9.7994098349014003</v>
      </c>
      <c r="QS16">
        <f t="shared" ca="1" si="12"/>
        <v>9.8001274674362708</v>
      </c>
      <c r="QT16">
        <f t="shared" ca="1" si="12"/>
        <v>9.7954393971148175</v>
      </c>
      <c r="QU16">
        <f t="shared" ca="1" si="12"/>
        <v>9.7989072333105458</v>
      </c>
      <c r="QV16">
        <f t="shared" ca="1" si="12"/>
        <v>9.7996758282298959</v>
      </c>
      <c r="QW16">
        <f t="shared" ca="1" si="12"/>
        <v>9.7986420588247061</v>
      </c>
      <c r="QX16">
        <f t="shared" ca="1" si="12"/>
        <v>9.7985145314288928</v>
      </c>
      <c r="QY16">
        <f t="shared" ca="1" si="12"/>
        <v>9.7984920512879885</v>
      </c>
      <c r="QZ16">
        <f t="shared" ca="1" si="12"/>
        <v>9.7991431010197534</v>
      </c>
      <c r="RA16">
        <f t="shared" ca="1" si="12"/>
        <v>9.7996588549524795</v>
      </c>
      <c r="RB16">
        <f t="shared" ca="1" si="12"/>
        <v>9.7972489547699375</v>
      </c>
      <c r="RC16">
        <f t="shared" ca="1" si="12"/>
        <v>9.7962375831352801</v>
      </c>
      <c r="RD16">
        <f t="shared" ca="1" si="12"/>
        <v>9.8000183857437353</v>
      </c>
      <c r="RE16">
        <f t="shared" ca="1" si="12"/>
        <v>9.8029445392118024</v>
      </c>
      <c r="RF16">
        <f t="shared" ca="1" si="12"/>
        <v>9.7936693062613234</v>
      </c>
      <c r="RG16">
        <f t="shared" ca="1" si="12"/>
        <v>9.7955506752574006</v>
      </c>
      <c r="RH16">
        <f t="shared" ca="1" si="12"/>
        <v>9.8027862717505503</v>
      </c>
      <c r="RI16">
        <f t="shared" ca="1" si="12"/>
        <v>9.8018071148103321</v>
      </c>
      <c r="RJ16">
        <f t="shared" ca="1" si="12"/>
        <v>9.7982877290294681</v>
      </c>
      <c r="RK16">
        <f t="shared" ca="1" si="12"/>
        <v>9.8023364303733622</v>
      </c>
      <c r="RL16">
        <f t="shared" ca="1" si="12"/>
        <v>9.8012151247267241</v>
      </c>
      <c r="RM16">
        <f t="shared" ca="1" si="12"/>
        <v>9.8018071180948105</v>
      </c>
      <c r="RN16">
        <f t="shared" ca="1" si="12"/>
        <v>9.8031584397833011</v>
      </c>
      <c r="RO16">
        <f t="shared" ca="1" si="12"/>
        <v>9.7980639726926402</v>
      </c>
      <c r="RP16">
        <f t="shared" ca="1" si="12"/>
        <v>9.8008926251201931</v>
      </c>
      <c r="RQ16">
        <f t="shared" ca="1" si="12"/>
        <v>9.8014231847196545</v>
      </c>
      <c r="RR16">
        <f t="shared" ca="1" si="12"/>
        <v>9.7945325056109915</v>
      </c>
      <c r="RS16">
        <f t="shared" ca="1" si="12"/>
        <v>9.8042681842313204</v>
      </c>
      <c r="RT16">
        <f t="shared" ca="1" si="12"/>
        <v>9.8041123516574995</v>
      </c>
      <c r="RU16">
        <f t="shared" ca="1" si="12"/>
        <v>9.800830198342064</v>
      </c>
      <c r="RV16">
        <f t="shared" ca="1" si="12"/>
        <v>9.8024012851942217</v>
      </c>
      <c r="RW16">
        <f t="shared" ca="1" si="12"/>
        <v>9.803868958311277</v>
      </c>
      <c r="RX16">
        <f t="shared" ca="1" si="12"/>
        <v>9.7960791672209702</v>
      </c>
      <c r="RY16">
        <f t="shared" ca="1" si="12"/>
        <v>9.8015905029888764</v>
      </c>
      <c r="RZ16">
        <f t="shared" ca="1" si="12"/>
        <v>9.7998432536938473</v>
      </c>
      <c r="SA16">
        <f t="shared" ca="1" si="12"/>
        <v>9.8014857874359063</v>
      </c>
      <c r="SB16">
        <f t="shared" ca="1" si="12"/>
        <v>9.8011257087759418</v>
      </c>
      <c r="SC16">
        <f t="shared" ca="1" si="12"/>
        <v>9.7958560304262647</v>
      </c>
      <c r="SD16">
        <f t="shared" ca="1" si="12"/>
        <v>9.7977932137075712</v>
      </c>
      <c r="SE16">
        <f t="shared" ca="1" si="12"/>
        <v>9.797338666540508</v>
      </c>
      <c r="SF16">
        <f t="shared" ca="1" si="12"/>
        <v>9.8014637886383955</v>
      </c>
      <c r="SG16">
        <f t="shared" ca="1" si="12"/>
        <v>9.8007954180060715</v>
      </c>
    </row>
    <row r="17" spans="1:501" x14ac:dyDescent="0.3">
      <c r="A17" s="1" t="s">
        <v>90</v>
      </c>
      <c r="B17">
        <f t="shared" ca="1" si="13"/>
        <v>9.8865713535588462</v>
      </c>
      <c r="C17">
        <f t="shared" ref="C17:BN20" ca="1" si="14">$B4*EXP(($I4-($H4^2)/2)*(1/52)+$H4*SQRT(1/52)*_xlfn.NORM.INV(RAND(),0,1))</f>
        <v>9.8926306412688074</v>
      </c>
      <c r="D17">
        <f t="shared" ca="1" si="14"/>
        <v>9.8951863502965551</v>
      </c>
      <c r="E17">
        <f t="shared" ca="1" si="14"/>
        <v>9.8917227516363457</v>
      </c>
      <c r="F17">
        <f t="shared" ca="1" si="14"/>
        <v>9.8891790997347009</v>
      </c>
      <c r="G17">
        <f t="shared" ca="1" si="14"/>
        <v>9.8903902036571179</v>
      </c>
      <c r="H17">
        <f t="shared" ca="1" si="14"/>
        <v>9.8923312171008657</v>
      </c>
      <c r="I17">
        <f t="shared" ca="1" si="14"/>
        <v>9.8890909368771833</v>
      </c>
      <c r="J17">
        <f t="shared" ca="1" si="14"/>
        <v>9.8890229651234591</v>
      </c>
      <c r="K17">
        <f t="shared" ca="1" si="14"/>
        <v>9.8916059894169113</v>
      </c>
      <c r="L17">
        <f t="shared" ca="1" si="14"/>
        <v>9.888813549548253</v>
      </c>
      <c r="M17">
        <f t="shared" ca="1" si="14"/>
        <v>9.8917105352049379</v>
      </c>
      <c r="N17">
        <f t="shared" ca="1" si="14"/>
        <v>9.8898434771752939</v>
      </c>
      <c r="O17">
        <f t="shared" ca="1" si="14"/>
        <v>9.8836795636942423</v>
      </c>
      <c r="P17">
        <f t="shared" ca="1" si="14"/>
        <v>9.88707145793175</v>
      </c>
      <c r="Q17">
        <f t="shared" ca="1" si="14"/>
        <v>9.8884688380412822</v>
      </c>
      <c r="R17">
        <f t="shared" ca="1" si="14"/>
        <v>9.8912022313041241</v>
      </c>
      <c r="S17">
        <f t="shared" ca="1" si="14"/>
        <v>9.8873931829309676</v>
      </c>
      <c r="T17">
        <f t="shared" ca="1" si="14"/>
        <v>9.8919588810780912</v>
      </c>
      <c r="U17">
        <f t="shared" ca="1" si="14"/>
        <v>9.8923403924319597</v>
      </c>
      <c r="V17">
        <f t="shared" ca="1" si="14"/>
        <v>9.8892196952373936</v>
      </c>
      <c r="W17">
        <f t="shared" ca="1" si="14"/>
        <v>9.8846866006933034</v>
      </c>
      <c r="X17">
        <f t="shared" ca="1" si="14"/>
        <v>9.8918961573839681</v>
      </c>
      <c r="Y17">
        <f t="shared" ca="1" si="14"/>
        <v>9.8883586383642523</v>
      </c>
      <c r="Z17">
        <f t="shared" ca="1" si="14"/>
        <v>9.8853149924750454</v>
      </c>
      <c r="AA17">
        <f t="shared" ca="1" si="14"/>
        <v>9.8847587171490279</v>
      </c>
      <c r="AB17">
        <f t="shared" ca="1" si="14"/>
        <v>9.8955345365113239</v>
      </c>
      <c r="AC17">
        <f t="shared" ca="1" si="14"/>
        <v>9.8919666039263827</v>
      </c>
      <c r="AD17">
        <f t="shared" ca="1" si="14"/>
        <v>9.8853410234204304</v>
      </c>
      <c r="AE17">
        <f t="shared" ca="1" si="14"/>
        <v>9.8860731310481924</v>
      </c>
      <c r="AF17">
        <f t="shared" ca="1" si="14"/>
        <v>9.8892907858046986</v>
      </c>
      <c r="AG17">
        <f t="shared" ca="1" si="14"/>
        <v>9.8878826574300511</v>
      </c>
      <c r="AH17">
        <f t="shared" ca="1" si="14"/>
        <v>9.8882178865159887</v>
      </c>
      <c r="AI17">
        <f t="shared" ca="1" si="14"/>
        <v>9.8902355699525373</v>
      </c>
      <c r="AJ17">
        <f t="shared" ca="1" si="14"/>
        <v>9.8928314046708614</v>
      </c>
      <c r="AK17">
        <f t="shared" ca="1" si="14"/>
        <v>9.8892546569622475</v>
      </c>
      <c r="AL17">
        <f t="shared" ca="1" si="14"/>
        <v>9.8926070556746577</v>
      </c>
      <c r="AM17">
        <f t="shared" ca="1" si="14"/>
        <v>9.8893040357742201</v>
      </c>
      <c r="AN17">
        <f t="shared" ca="1" si="14"/>
        <v>9.8874260057552892</v>
      </c>
      <c r="AO17">
        <f t="shared" ca="1" si="14"/>
        <v>9.8823714459679319</v>
      </c>
      <c r="AP17">
        <f t="shared" ca="1" si="14"/>
        <v>9.8855594824192288</v>
      </c>
      <c r="AQ17">
        <f t="shared" ca="1" si="14"/>
        <v>9.888319782562812</v>
      </c>
      <c r="AR17">
        <f t="shared" ca="1" si="14"/>
        <v>9.8883048865265728</v>
      </c>
      <c r="AS17">
        <f t="shared" ca="1" si="14"/>
        <v>9.8892070781952057</v>
      </c>
      <c r="AT17">
        <f t="shared" ca="1" si="14"/>
        <v>9.8896952210646916</v>
      </c>
      <c r="AU17">
        <f t="shared" ca="1" si="14"/>
        <v>9.8902834396116397</v>
      </c>
      <c r="AV17">
        <f t="shared" ca="1" si="14"/>
        <v>9.8920462102690703</v>
      </c>
      <c r="AW17">
        <f t="shared" ca="1" si="14"/>
        <v>9.8896160633223644</v>
      </c>
      <c r="AX17">
        <f t="shared" ca="1" si="14"/>
        <v>9.8898306011082973</v>
      </c>
      <c r="AY17">
        <f t="shared" ca="1" si="14"/>
        <v>9.8895889905755592</v>
      </c>
      <c r="AZ17">
        <f t="shared" ca="1" si="14"/>
        <v>9.8890685148546957</v>
      </c>
      <c r="BA17">
        <f t="shared" ca="1" si="14"/>
        <v>9.8928868889806463</v>
      </c>
      <c r="BB17">
        <f t="shared" ca="1" si="14"/>
        <v>9.8899131184912328</v>
      </c>
      <c r="BC17">
        <f t="shared" ca="1" si="14"/>
        <v>9.8890949507642194</v>
      </c>
      <c r="BD17">
        <f t="shared" ca="1" si="14"/>
        <v>9.8851608282685728</v>
      </c>
      <c r="BE17">
        <f t="shared" ca="1" si="14"/>
        <v>9.8897523237512637</v>
      </c>
      <c r="BF17">
        <f t="shared" ca="1" si="14"/>
        <v>9.8926815437629241</v>
      </c>
      <c r="BG17">
        <f t="shared" ca="1" si="14"/>
        <v>9.8922313288988502</v>
      </c>
      <c r="BH17">
        <f t="shared" ca="1" si="14"/>
        <v>9.8957331728069775</v>
      </c>
      <c r="BI17">
        <f t="shared" ca="1" si="14"/>
        <v>9.8898220675861808</v>
      </c>
      <c r="BJ17">
        <f t="shared" ca="1" si="14"/>
        <v>9.8879053086431252</v>
      </c>
      <c r="BK17">
        <f t="shared" ca="1" si="14"/>
        <v>9.8896422693829518</v>
      </c>
      <c r="BL17">
        <f t="shared" ca="1" si="14"/>
        <v>9.8901262680783137</v>
      </c>
      <c r="BM17">
        <f t="shared" ca="1" si="14"/>
        <v>9.8883133117742332</v>
      </c>
      <c r="BN17">
        <f t="shared" ca="1" si="14"/>
        <v>9.8926396082337202</v>
      </c>
      <c r="BO17">
        <f t="shared" ca="1" si="6"/>
        <v>9.8902316653086544</v>
      </c>
      <c r="BP17">
        <f t="shared" ca="1" si="6"/>
        <v>9.8895396185306925</v>
      </c>
      <c r="BQ17">
        <f t="shared" ca="1" si="6"/>
        <v>9.892426713442136</v>
      </c>
      <c r="BR17">
        <f t="shared" ca="1" si="6"/>
        <v>9.8905016272717798</v>
      </c>
      <c r="BS17">
        <f t="shared" ca="1" si="6"/>
        <v>9.887505287395701</v>
      </c>
      <c r="BT17">
        <f t="shared" ca="1" si="6"/>
        <v>9.8870771093334895</v>
      </c>
      <c r="BU17">
        <f t="shared" ca="1" si="6"/>
        <v>9.8893821438766345</v>
      </c>
      <c r="BV17">
        <f t="shared" ca="1" si="6"/>
        <v>9.8927133319337539</v>
      </c>
      <c r="BW17">
        <f t="shared" ca="1" si="6"/>
        <v>9.8945425279930674</v>
      </c>
      <c r="BX17">
        <f t="shared" ca="1" si="6"/>
        <v>9.885615662754148</v>
      </c>
      <c r="BY17">
        <f t="shared" ca="1" si="6"/>
        <v>9.8904475284027615</v>
      </c>
      <c r="BZ17">
        <f t="shared" ca="1" si="6"/>
        <v>9.8932611239477453</v>
      </c>
      <c r="CA17">
        <f t="shared" ca="1" si="6"/>
        <v>9.8895614596189407</v>
      </c>
      <c r="CB17">
        <f t="shared" ca="1" si="6"/>
        <v>9.8896056574419049</v>
      </c>
      <c r="CC17">
        <f t="shared" ca="1" si="6"/>
        <v>9.8905622107688789</v>
      </c>
      <c r="CD17">
        <f t="shared" ca="1" si="6"/>
        <v>9.8902905911609338</v>
      </c>
      <c r="CE17">
        <f t="shared" ca="1" si="6"/>
        <v>9.8916473336467057</v>
      </c>
      <c r="CF17">
        <f t="shared" ca="1" si="6"/>
        <v>9.8859919487832641</v>
      </c>
      <c r="CG17">
        <f t="shared" ca="1" si="6"/>
        <v>9.896657130157374</v>
      </c>
      <c r="CH17">
        <f t="shared" ca="1" si="6"/>
        <v>9.8855680839716555</v>
      </c>
      <c r="CI17">
        <f t="shared" ca="1" si="6"/>
        <v>9.8892348239834256</v>
      </c>
      <c r="CJ17">
        <f t="shared" ca="1" si="6"/>
        <v>9.8915419938717957</v>
      </c>
      <c r="CK17">
        <f t="shared" ca="1" si="6"/>
        <v>9.8869951957732667</v>
      </c>
      <c r="CL17">
        <f t="shared" ca="1" si="6"/>
        <v>9.893118217907217</v>
      </c>
      <c r="CM17">
        <f t="shared" ca="1" si="6"/>
        <v>9.8906193168212226</v>
      </c>
      <c r="CN17">
        <f t="shared" ca="1" si="6"/>
        <v>9.8885714980056498</v>
      </c>
      <c r="CO17">
        <f t="shared" ca="1" si="6"/>
        <v>9.8870720160419143</v>
      </c>
      <c r="CP17">
        <f t="shared" ca="1" si="6"/>
        <v>9.8878252781472753</v>
      </c>
      <c r="CQ17">
        <f t="shared" ca="1" si="6"/>
        <v>9.8874263425650408</v>
      </c>
      <c r="CR17">
        <f t="shared" ca="1" si="6"/>
        <v>9.8917425335783431</v>
      </c>
      <c r="CS17">
        <f t="shared" ca="1" si="6"/>
        <v>9.8886432441331191</v>
      </c>
      <c r="CT17">
        <f t="shared" ca="1" si="6"/>
        <v>9.8882126920737683</v>
      </c>
      <c r="CU17">
        <f t="shared" ca="1" si="6"/>
        <v>9.888659371324291</v>
      </c>
      <c r="CV17">
        <f t="shared" ca="1" si="6"/>
        <v>9.8889885724893638</v>
      </c>
      <c r="CW17">
        <f t="shared" ca="1" si="6"/>
        <v>9.8943254553367659</v>
      </c>
      <c r="CX17">
        <f t="shared" ca="1" si="6"/>
        <v>9.8863224941634957</v>
      </c>
      <c r="CY17">
        <f t="shared" ca="1" si="6"/>
        <v>9.8868974467096855</v>
      </c>
      <c r="CZ17">
        <f t="shared" ca="1" si="6"/>
        <v>9.8860335656683773</v>
      </c>
      <c r="DA17">
        <f t="shared" ca="1" si="6"/>
        <v>9.8923263939398094</v>
      </c>
      <c r="DB17">
        <f t="shared" ca="1" si="6"/>
        <v>9.892510430681309</v>
      </c>
      <c r="DC17">
        <f t="shared" ca="1" si="6"/>
        <v>9.8903830025118609</v>
      </c>
      <c r="DD17">
        <f t="shared" ca="1" si="6"/>
        <v>9.8921637362633064</v>
      </c>
      <c r="DE17">
        <f t="shared" ca="1" si="6"/>
        <v>9.8933355819279445</v>
      </c>
      <c r="DF17">
        <f t="shared" ca="1" si="6"/>
        <v>9.8904844531359597</v>
      </c>
      <c r="DG17">
        <f t="shared" ca="1" si="6"/>
        <v>9.8920283983513642</v>
      </c>
      <c r="DH17">
        <f t="shared" ca="1" si="6"/>
        <v>9.8867224671268517</v>
      </c>
      <c r="DI17">
        <f t="shared" ca="1" si="6"/>
        <v>9.8829949128865824</v>
      </c>
      <c r="DJ17">
        <f t="shared" ca="1" si="6"/>
        <v>9.890429249522068</v>
      </c>
      <c r="DK17">
        <f t="shared" ca="1" si="6"/>
        <v>9.888374280438935</v>
      </c>
      <c r="DL17">
        <f t="shared" ca="1" si="6"/>
        <v>9.8931967019775353</v>
      </c>
      <c r="DM17">
        <f t="shared" ca="1" si="6"/>
        <v>9.8901399308412792</v>
      </c>
      <c r="DN17">
        <f t="shared" ca="1" si="6"/>
        <v>9.8912545018454896</v>
      </c>
      <c r="DO17">
        <f t="shared" ca="1" si="6"/>
        <v>9.8913486928670853</v>
      </c>
      <c r="DP17">
        <f t="shared" ca="1" si="6"/>
        <v>9.8899436280382691</v>
      </c>
      <c r="DQ17">
        <f t="shared" ca="1" si="6"/>
        <v>9.8878149989669524</v>
      </c>
      <c r="DR17">
        <f t="shared" ca="1" si="6"/>
        <v>9.8889355094733329</v>
      </c>
      <c r="DS17">
        <f t="shared" ca="1" si="6"/>
        <v>9.8856957900920417</v>
      </c>
      <c r="DT17">
        <f t="shared" ca="1" si="6"/>
        <v>9.8876750016174313</v>
      </c>
      <c r="DU17">
        <f t="shared" ca="1" si="6"/>
        <v>9.8893565194098869</v>
      </c>
      <c r="DV17">
        <f t="shared" ca="1" si="6"/>
        <v>9.8879907469487733</v>
      </c>
      <c r="DW17">
        <f t="shared" ca="1" si="6"/>
        <v>9.8875897543825833</v>
      </c>
      <c r="DX17">
        <f t="shared" ca="1" si="6"/>
        <v>9.8928317090015501</v>
      </c>
      <c r="DY17">
        <f t="shared" ca="1" si="6"/>
        <v>9.8961411409858346</v>
      </c>
      <c r="DZ17">
        <f t="shared" ca="1" si="6"/>
        <v>9.886432739313129</v>
      </c>
      <c r="EA17">
        <f t="shared" ca="1" si="7"/>
        <v>9.8935424598363699</v>
      </c>
      <c r="EB17">
        <f t="shared" ca="1" si="7"/>
        <v>9.885490140680897</v>
      </c>
      <c r="EC17">
        <f t="shared" ca="1" si="7"/>
        <v>9.8907163334318824</v>
      </c>
      <c r="ED17">
        <f t="shared" ca="1" si="7"/>
        <v>9.8897812886379199</v>
      </c>
      <c r="EE17">
        <f t="shared" ca="1" si="7"/>
        <v>9.8858359265936535</v>
      </c>
      <c r="EF17">
        <f t="shared" ca="1" si="7"/>
        <v>9.890100491190811</v>
      </c>
      <c r="EG17">
        <f t="shared" ca="1" si="7"/>
        <v>9.8922081867157452</v>
      </c>
      <c r="EH17">
        <f t="shared" ca="1" si="7"/>
        <v>9.8896637447566107</v>
      </c>
      <c r="EI17">
        <f t="shared" ca="1" si="7"/>
        <v>9.892674595383923</v>
      </c>
      <c r="EJ17">
        <f t="shared" ca="1" si="7"/>
        <v>9.8919317411344032</v>
      </c>
      <c r="EK17">
        <f t="shared" ca="1" si="7"/>
        <v>9.8906817666947724</v>
      </c>
      <c r="EL17">
        <f t="shared" ca="1" si="7"/>
        <v>9.8844601521627791</v>
      </c>
      <c r="EM17">
        <f t="shared" ca="1" si="7"/>
        <v>9.8909416493463471</v>
      </c>
      <c r="EN17">
        <f t="shared" ca="1" si="7"/>
        <v>9.8872429825726922</v>
      </c>
      <c r="EO17">
        <f t="shared" ca="1" si="7"/>
        <v>9.8903110784115018</v>
      </c>
      <c r="EP17">
        <f t="shared" ca="1" si="7"/>
        <v>9.8913915381580964</v>
      </c>
      <c r="EQ17">
        <f t="shared" ca="1" si="7"/>
        <v>9.887393205449218</v>
      </c>
      <c r="ER17">
        <f t="shared" ca="1" si="7"/>
        <v>9.8859331950134308</v>
      </c>
      <c r="ES17">
        <f t="shared" ca="1" si="7"/>
        <v>9.8914465987183231</v>
      </c>
      <c r="ET17">
        <f t="shared" ca="1" si="7"/>
        <v>9.8894258285251357</v>
      </c>
      <c r="EU17">
        <f t="shared" ca="1" si="7"/>
        <v>9.8897253367959284</v>
      </c>
      <c r="EV17">
        <f t="shared" ca="1" si="7"/>
        <v>9.8917521821024259</v>
      </c>
      <c r="EW17">
        <f t="shared" ca="1" si="7"/>
        <v>9.8907289787948898</v>
      </c>
      <c r="EX17">
        <f t="shared" ca="1" si="7"/>
        <v>9.8905949814970935</v>
      </c>
      <c r="EY17">
        <f t="shared" ca="1" si="7"/>
        <v>9.8867256281951477</v>
      </c>
      <c r="EZ17">
        <f t="shared" ca="1" si="7"/>
        <v>9.8871780226136714</v>
      </c>
      <c r="FA17">
        <f t="shared" ca="1" si="7"/>
        <v>9.8921453400374091</v>
      </c>
      <c r="FB17">
        <f t="shared" ca="1" si="7"/>
        <v>9.8896336477480613</v>
      </c>
      <c r="FC17">
        <f t="shared" ca="1" si="7"/>
        <v>9.8912238611749181</v>
      </c>
      <c r="FD17">
        <f t="shared" ca="1" si="7"/>
        <v>9.8868542256296035</v>
      </c>
      <c r="FE17">
        <f t="shared" ca="1" si="7"/>
        <v>9.8883022591699845</v>
      </c>
      <c r="FF17">
        <f t="shared" ca="1" si="7"/>
        <v>9.8888990464644628</v>
      </c>
      <c r="FG17">
        <f t="shared" ca="1" si="7"/>
        <v>9.8935974548030536</v>
      </c>
      <c r="FH17">
        <f t="shared" ca="1" si="7"/>
        <v>9.8898781384921612</v>
      </c>
      <c r="FI17">
        <f t="shared" ca="1" si="7"/>
        <v>9.895501599502019</v>
      </c>
      <c r="FJ17">
        <f t="shared" ca="1" si="7"/>
        <v>9.887896907599135</v>
      </c>
      <c r="FK17">
        <f t="shared" ca="1" si="7"/>
        <v>9.8889944875815399</v>
      </c>
      <c r="FL17">
        <f t="shared" ca="1" si="7"/>
        <v>9.8884351996642241</v>
      </c>
      <c r="FM17">
        <f t="shared" ca="1" si="7"/>
        <v>9.8894346896575627</v>
      </c>
      <c r="FN17">
        <f t="shared" ca="1" si="7"/>
        <v>9.8935196064010498</v>
      </c>
      <c r="FO17">
        <f t="shared" ca="1" si="7"/>
        <v>9.8878194830971857</v>
      </c>
      <c r="FP17">
        <f t="shared" ca="1" si="7"/>
        <v>9.8880967817913525</v>
      </c>
      <c r="FQ17">
        <f t="shared" ca="1" si="7"/>
        <v>9.8928531298138562</v>
      </c>
      <c r="FR17">
        <f t="shared" ca="1" si="7"/>
        <v>9.889322224378768</v>
      </c>
      <c r="FS17">
        <f t="shared" ca="1" si="7"/>
        <v>9.8820754846256147</v>
      </c>
      <c r="FT17">
        <f t="shared" ca="1" si="7"/>
        <v>9.8938039673894771</v>
      </c>
      <c r="FU17">
        <f t="shared" ca="1" si="7"/>
        <v>9.8884540196643158</v>
      </c>
      <c r="FV17">
        <f t="shared" ca="1" si="7"/>
        <v>9.8891346928709378</v>
      </c>
      <c r="FW17">
        <f t="shared" ca="1" si="7"/>
        <v>9.8908079946621292</v>
      </c>
      <c r="FX17">
        <f t="shared" ca="1" si="7"/>
        <v>9.8906300136129541</v>
      </c>
      <c r="FY17">
        <f t="shared" ca="1" si="7"/>
        <v>9.8903351193648472</v>
      </c>
      <c r="FZ17">
        <f t="shared" ca="1" si="7"/>
        <v>9.8907029223118297</v>
      </c>
      <c r="GA17">
        <f t="shared" ca="1" si="7"/>
        <v>9.8945592853159496</v>
      </c>
      <c r="GB17">
        <f t="shared" ca="1" si="7"/>
        <v>9.888095478927367</v>
      </c>
      <c r="GC17">
        <f t="shared" ca="1" si="7"/>
        <v>9.8887727939177505</v>
      </c>
      <c r="GD17">
        <f t="shared" ca="1" si="7"/>
        <v>9.8903237601638541</v>
      </c>
      <c r="GE17">
        <f t="shared" ca="1" si="7"/>
        <v>9.8900127074468713</v>
      </c>
      <c r="GF17">
        <f t="shared" ca="1" si="7"/>
        <v>9.8897264459475984</v>
      </c>
      <c r="GG17">
        <f t="shared" ca="1" si="7"/>
        <v>9.89127061875155</v>
      </c>
      <c r="GH17">
        <f t="shared" ca="1" si="7"/>
        <v>9.885521562976848</v>
      </c>
      <c r="GI17">
        <f t="shared" ca="1" si="7"/>
        <v>9.8903598621895323</v>
      </c>
      <c r="GJ17">
        <f t="shared" ca="1" si="7"/>
        <v>9.8905057764810902</v>
      </c>
      <c r="GK17">
        <f t="shared" ca="1" si="7"/>
        <v>9.8901445550687441</v>
      </c>
      <c r="GL17">
        <f t="shared" ca="1" si="7"/>
        <v>9.8890560911931882</v>
      </c>
      <c r="GM17">
        <f t="shared" ca="1" si="8"/>
        <v>9.8886445172362585</v>
      </c>
      <c r="GN17">
        <f t="shared" ca="1" si="8"/>
        <v>9.8927794616199236</v>
      </c>
      <c r="GO17">
        <f t="shared" ca="1" si="8"/>
        <v>9.8866936528159464</v>
      </c>
      <c r="GP17">
        <f t="shared" ca="1" si="8"/>
        <v>9.8899332224795202</v>
      </c>
      <c r="GQ17">
        <f t="shared" ca="1" si="8"/>
        <v>9.8845876527770375</v>
      </c>
      <c r="GR17">
        <f t="shared" ca="1" si="8"/>
        <v>9.8906639594027119</v>
      </c>
      <c r="GS17">
        <f t="shared" ca="1" si="8"/>
        <v>9.8883240980577671</v>
      </c>
      <c r="GT17">
        <f t="shared" ca="1" si="8"/>
        <v>9.8895509523238161</v>
      </c>
      <c r="GU17">
        <f t="shared" ca="1" si="8"/>
        <v>9.8935736611538019</v>
      </c>
      <c r="GV17">
        <f t="shared" ca="1" si="8"/>
        <v>9.8898533518011469</v>
      </c>
      <c r="GW17">
        <f t="shared" ca="1" si="8"/>
        <v>9.8893666782446186</v>
      </c>
      <c r="GX17">
        <f t="shared" ca="1" si="8"/>
        <v>9.8899278010718117</v>
      </c>
      <c r="GY17">
        <f t="shared" ca="1" si="8"/>
        <v>9.892908300697508</v>
      </c>
      <c r="GZ17">
        <f t="shared" ca="1" si="8"/>
        <v>9.8924797096419699</v>
      </c>
      <c r="HA17">
        <f t="shared" ca="1" si="8"/>
        <v>9.8911479023844766</v>
      </c>
      <c r="HB17">
        <f t="shared" ca="1" si="8"/>
        <v>9.8886338320593161</v>
      </c>
      <c r="HC17">
        <f t="shared" ca="1" si="8"/>
        <v>9.8908484860521693</v>
      </c>
      <c r="HD17">
        <f t="shared" ca="1" si="8"/>
        <v>9.8862274711927736</v>
      </c>
      <c r="HE17">
        <f t="shared" ca="1" si="8"/>
        <v>9.887927228871396</v>
      </c>
      <c r="HF17">
        <f t="shared" ca="1" si="8"/>
        <v>9.8865863874301159</v>
      </c>
      <c r="HG17">
        <f t="shared" ca="1" si="8"/>
        <v>9.8926725675662297</v>
      </c>
      <c r="HH17">
        <f t="shared" ca="1" si="8"/>
        <v>9.8914323770569563</v>
      </c>
      <c r="HI17">
        <f t="shared" ca="1" si="8"/>
        <v>9.8881642143972961</v>
      </c>
      <c r="HJ17">
        <f t="shared" ca="1" si="8"/>
        <v>9.892024713529775</v>
      </c>
      <c r="HK17">
        <f t="shared" ca="1" si="8"/>
        <v>9.8928252077811329</v>
      </c>
      <c r="HL17">
        <f t="shared" ca="1" si="8"/>
        <v>9.888306847841605</v>
      </c>
      <c r="HM17">
        <f t="shared" ca="1" si="8"/>
        <v>9.8855337730008905</v>
      </c>
      <c r="HN17">
        <f t="shared" ca="1" si="8"/>
        <v>9.8916950473520888</v>
      </c>
      <c r="HO17">
        <f t="shared" ca="1" si="8"/>
        <v>9.8880481264839126</v>
      </c>
      <c r="HP17">
        <f t="shared" ca="1" si="8"/>
        <v>9.8921186081747923</v>
      </c>
      <c r="HQ17">
        <f t="shared" ca="1" si="8"/>
        <v>9.8895380173721001</v>
      </c>
      <c r="HR17">
        <f t="shared" ca="1" si="8"/>
        <v>9.8894111862980019</v>
      </c>
      <c r="HS17">
        <f t="shared" ca="1" si="8"/>
        <v>9.8895674973899261</v>
      </c>
      <c r="HT17">
        <f t="shared" ca="1" si="8"/>
        <v>9.890772569917651</v>
      </c>
      <c r="HU17">
        <f t="shared" ca="1" si="8"/>
        <v>9.896268089481012</v>
      </c>
      <c r="HV17">
        <f t="shared" ca="1" si="8"/>
        <v>9.8894487129341258</v>
      </c>
      <c r="HW17">
        <f t="shared" ca="1" si="8"/>
        <v>9.8884168029261836</v>
      </c>
      <c r="HX17">
        <f t="shared" ca="1" si="8"/>
        <v>9.896294344392377</v>
      </c>
      <c r="HY17">
        <f t="shared" ca="1" si="8"/>
        <v>9.893370917763141</v>
      </c>
      <c r="HZ17">
        <f t="shared" ca="1" si="8"/>
        <v>9.8905815441195397</v>
      </c>
      <c r="IA17">
        <f t="shared" ca="1" si="8"/>
        <v>9.8930062280717674</v>
      </c>
      <c r="IB17">
        <f t="shared" ca="1" si="8"/>
        <v>9.8883675084031903</v>
      </c>
      <c r="IC17">
        <f t="shared" ca="1" si="8"/>
        <v>9.8894908179234466</v>
      </c>
      <c r="ID17">
        <f t="shared" ca="1" si="8"/>
        <v>9.8898444860221844</v>
      </c>
      <c r="IE17">
        <f t="shared" ca="1" si="8"/>
        <v>9.8909731055567907</v>
      </c>
      <c r="IF17">
        <f t="shared" ca="1" si="8"/>
        <v>9.8902361389195406</v>
      </c>
      <c r="IG17">
        <f t="shared" ca="1" si="8"/>
        <v>9.8871693697297314</v>
      </c>
      <c r="IH17">
        <f t="shared" ca="1" si="8"/>
        <v>9.8926776209368015</v>
      </c>
      <c r="II17">
        <f t="shared" ca="1" si="8"/>
        <v>9.8899417966293814</v>
      </c>
      <c r="IJ17">
        <f t="shared" ca="1" si="8"/>
        <v>9.8920510110888404</v>
      </c>
      <c r="IK17">
        <f t="shared" ca="1" si="8"/>
        <v>9.8893685284643826</v>
      </c>
      <c r="IL17">
        <f t="shared" ca="1" si="8"/>
        <v>9.8859225202432075</v>
      </c>
      <c r="IM17">
        <f t="shared" ca="1" si="8"/>
        <v>9.889341187167048</v>
      </c>
      <c r="IN17">
        <f t="shared" ca="1" si="8"/>
        <v>9.8878147741676088</v>
      </c>
      <c r="IO17">
        <f t="shared" ca="1" si="8"/>
        <v>9.8916214689011692</v>
      </c>
      <c r="IP17">
        <f t="shared" ca="1" si="8"/>
        <v>9.8889753346903468</v>
      </c>
      <c r="IQ17">
        <f t="shared" ca="1" si="8"/>
        <v>9.8887627210305169</v>
      </c>
      <c r="IR17">
        <f t="shared" ca="1" si="8"/>
        <v>9.8939862679615054</v>
      </c>
      <c r="IS17">
        <f t="shared" ca="1" si="8"/>
        <v>9.8906086218646418</v>
      </c>
      <c r="IT17">
        <f t="shared" ca="1" si="8"/>
        <v>9.8936802492090887</v>
      </c>
      <c r="IU17">
        <f t="shared" ca="1" si="8"/>
        <v>9.8884545648445741</v>
      </c>
      <c r="IV17">
        <f t="shared" ca="1" si="8"/>
        <v>9.8878418453171815</v>
      </c>
      <c r="IW17">
        <f t="shared" ca="1" si="8"/>
        <v>9.8836785744810101</v>
      </c>
      <c r="IX17">
        <f t="shared" ca="1" si="8"/>
        <v>9.8860304103357635</v>
      </c>
      <c r="IY17">
        <f t="shared" ca="1" si="9"/>
        <v>9.8827709023970964</v>
      </c>
      <c r="IZ17">
        <f t="shared" ca="1" si="9"/>
        <v>9.8885800634527214</v>
      </c>
      <c r="JA17">
        <f t="shared" ca="1" si="9"/>
        <v>9.8930328090469395</v>
      </c>
      <c r="JB17">
        <f t="shared" ca="1" si="9"/>
        <v>9.8894798397596446</v>
      </c>
      <c r="JC17">
        <f t="shared" ca="1" si="9"/>
        <v>9.8937523493012289</v>
      </c>
      <c r="JD17">
        <f t="shared" ca="1" si="9"/>
        <v>9.8940324444094987</v>
      </c>
      <c r="JE17">
        <f t="shared" ca="1" si="9"/>
        <v>9.8953161256240847</v>
      </c>
      <c r="JF17">
        <f t="shared" ca="1" si="9"/>
        <v>9.8907803681717024</v>
      </c>
      <c r="JG17">
        <f t="shared" ca="1" si="9"/>
        <v>9.8873733472037397</v>
      </c>
      <c r="JH17">
        <f t="shared" ca="1" si="9"/>
        <v>9.8878177857183864</v>
      </c>
      <c r="JI17">
        <f t="shared" ca="1" si="9"/>
        <v>9.8936460600939942</v>
      </c>
      <c r="JJ17">
        <f t="shared" ca="1" si="9"/>
        <v>9.8947023944518033</v>
      </c>
      <c r="JK17">
        <f t="shared" ca="1" si="9"/>
        <v>9.8938013868786339</v>
      </c>
      <c r="JL17">
        <f t="shared" ca="1" si="9"/>
        <v>9.8911238303006641</v>
      </c>
      <c r="JM17">
        <f t="shared" ca="1" si="9"/>
        <v>9.8897353657544365</v>
      </c>
      <c r="JN17">
        <f t="shared" ca="1" si="9"/>
        <v>9.8889190282116264</v>
      </c>
      <c r="JO17">
        <f t="shared" ca="1" si="9"/>
        <v>9.8879962127905792</v>
      </c>
      <c r="JP17">
        <f t="shared" ca="1" si="9"/>
        <v>9.8900676695361458</v>
      </c>
      <c r="JQ17">
        <f t="shared" ca="1" si="9"/>
        <v>9.8889900295338418</v>
      </c>
      <c r="JR17">
        <f t="shared" ca="1" si="9"/>
        <v>9.8861047217862215</v>
      </c>
      <c r="JS17">
        <f t="shared" ca="1" si="9"/>
        <v>9.8921433947897111</v>
      </c>
      <c r="JT17">
        <f t="shared" ca="1" si="9"/>
        <v>9.8867912343538951</v>
      </c>
      <c r="JU17">
        <f t="shared" ca="1" si="9"/>
        <v>9.8898827256198665</v>
      </c>
      <c r="JV17">
        <f t="shared" ca="1" si="9"/>
        <v>9.8918664836028984</v>
      </c>
      <c r="JW17">
        <f t="shared" ca="1" si="9"/>
        <v>9.8894069852018021</v>
      </c>
      <c r="JX17">
        <f t="shared" ca="1" si="9"/>
        <v>9.8886203160311688</v>
      </c>
      <c r="JY17">
        <f t="shared" ca="1" si="9"/>
        <v>9.8878519539606788</v>
      </c>
      <c r="JZ17">
        <f t="shared" ca="1" si="9"/>
        <v>9.8942537408285087</v>
      </c>
      <c r="KA17">
        <f t="shared" ca="1" si="9"/>
        <v>9.8900850508557703</v>
      </c>
      <c r="KB17">
        <f t="shared" ca="1" si="9"/>
        <v>9.8886330908959756</v>
      </c>
      <c r="KC17">
        <f t="shared" ca="1" si="9"/>
        <v>9.8848625753945534</v>
      </c>
      <c r="KD17">
        <f t="shared" ca="1" si="9"/>
        <v>9.8894497288192547</v>
      </c>
      <c r="KE17">
        <f t="shared" ca="1" si="9"/>
        <v>9.8905775954261195</v>
      </c>
      <c r="KF17">
        <f t="shared" ca="1" si="9"/>
        <v>9.8895754265373856</v>
      </c>
      <c r="KG17">
        <f t="shared" ca="1" si="9"/>
        <v>9.8880361512792376</v>
      </c>
      <c r="KH17">
        <f t="shared" ca="1" si="9"/>
        <v>9.8860639965251647</v>
      </c>
      <c r="KI17">
        <f t="shared" ca="1" si="9"/>
        <v>9.8872932347671902</v>
      </c>
      <c r="KJ17">
        <f t="shared" ca="1" si="9"/>
        <v>9.8904897773705009</v>
      </c>
      <c r="KK17">
        <f t="shared" ca="1" si="9"/>
        <v>9.8910068413760381</v>
      </c>
      <c r="KL17">
        <f t="shared" ca="1" si="9"/>
        <v>9.8918817957440464</v>
      </c>
      <c r="KM17">
        <f t="shared" ca="1" si="9"/>
        <v>9.8872439831578909</v>
      </c>
      <c r="KN17">
        <f t="shared" ca="1" si="9"/>
        <v>9.8859079035397457</v>
      </c>
      <c r="KO17">
        <f t="shared" ca="1" si="9"/>
        <v>9.8906586312957536</v>
      </c>
      <c r="KP17">
        <f t="shared" ca="1" si="9"/>
        <v>9.8880169618048281</v>
      </c>
      <c r="KQ17">
        <f t="shared" ca="1" si="9"/>
        <v>9.8876923827738814</v>
      </c>
      <c r="KR17">
        <f t="shared" ca="1" si="9"/>
        <v>9.8876245766083564</v>
      </c>
      <c r="KS17">
        <f t="shared" ca="1" si="9"/>
        <v>9.8917294375806399</v>
      </c>
      <c r="KT17">
        <f t="shared" ca="1" si="9"/>
        <v>9.8909176662445351</v>
      </c>
      <c r="KU17">
        <f t="shared" ca="1" si="9"/>
        <v>9.8927374386254332</v>
      </c>
      <c r="KV17">
        <f t="shared" ca="1" si="9"/>
        <v>9.8862490782520158</v>
      </c>
      <c r="KW17">
        <f t="shared" ca="1" si="9"/>
        <v>9.889686179405377</v>
      </c>
      <c r="KX17">
        <f t="shared" ca="1" si="9"/>
        <v>9.8906856866798485</v>
      </c>
      <c r="KY17">
        <f t="shared" ca="1" si="9"/>
        <v>9.8906870296442531</v>
      </c>
      <c r="KZ17">
        <f t="shared" ca="1" si="9"/>
        <v>9.8904456070924933</v>
      </c>
      <c r="LA17">
        <f t="shared" ca="1" si="9"/>
        <v>9.8885753874715494</v>
      </c>
      <c r="LB17">
        <f t="shared" ca="1" si="9"/>
        <v>9.8893452543451623</v>
      </c>
      <c r="LC17">
        <f t="shared" ca="1" si="9"/>
        <v>9.8877925822268864</v>
      </c>
      <c r="LD17">
        <f t="shared" ca="1" si="9"/>
        <v>9.8896559884190118</v>
      </c>
      <c r="LE17">
        <f t="shared" ca="1" si="9"/>
        <v>9.8870661013730974</v>
      </c>
      <c r="LF17">
        <f t="shared" ca="1" si="9"/>
        <v>9.888643346730424</v>
      </c>
      <c r="LG17">
        <f t="shared" ca="1" si="9"/>
        <v>9.895177569496278</v>
      </c>
      <c r="LH17">
        <f t="shared" ca="1" si="9"/>
        <v>9.8862863425034622</v>
      </c>
      <c r="LI17">
        <f t="shared" ca="1" si="9"/>
        <v>9.8866675382764502</v>
      </c>
      <c r="LJ17">
        <f t="shared" ca="1" si="9"/>
        <v>9.8925579376460604</v>
      </c>
      <c r="LK17">
        <f t="shared" ca="1" si="10"/>
        <v>9.8898140347631927</v>
      </c>
      <c r="LL17">
        <f t="shared" ca="1" si="10"/>
        <v>9.8940192984095958</v>
      </c>
      <c r="LM17">
        <f t="shared" ca="1" si="10"/>
        <v>9.8954196275650741</v>
      </c>
      <c r="LN17">
        <f t="shared" ca="1" si="10"/>
        <v>9.8889608827484139</v>
      </c>
      <c r="LO17">
        <f t="shared" ca="1" si="10"/>
        <v>9.8891538766805951</v>
      </c>
      <c r="LP17">
        <f t="shared" ca="1" si="10"/>
        <v>9.8848052101898833</v>
      </c>
      <c r="LQ17">
        <f t="shared" ca="1" si="10"/>
        <v>9.8908035519976014</v>
      </c>
      <c r="LR17">
        <f t="shared" ca="1" si="10"/>
        <v>9.8891054869074591</v>
      </c>
      <c r="LS17">
        <f t="shared" ca="1" si="10"/>
        <v>9.8897661708873912</v>
      </c>
      <c r="LT17">
        <f t="shared" ca="1" si="10"/>
        <v>9.8897616950926626</v>
      </c>
      <c r="LU17">
        <f t="shared" ca="1" si="10"/>
        <v>9.8936732511846515</v>
      </c>
      <c r="LV17">
        <f t="shared" ca="1" si="10"/>
        <v>9.8892628101548041</v>
      </c>
      <c r="LW17">
        <f t="shared" ca="1" si="10"/>
        <v>9.8856284691497756</v>
      </c>
      <c r="LX17">
        <f t="shared" ca="1" si="10"/>
        <v>9.8935709456412742</v>
      </c>
      <c r="LY17">
        <f t="shared" ca="1" si="10"/>
        <v>9.8863555303669699</v>
      </c>
      <c r="LZ17">
        <f t="shared" ca="1" si="10"/>
        <v>9.8879531361700561</v>
      </c>
      <c r="MA17">
        <f t="shared" ca="1" si="10"/>
        <v>9.8928441947892942</v>
      </c>
      <c r="MB17">
        <f t="shared" ca="1" si="10"/>
        <v>9.888012529378976</v>
      </c>
      <c r="MC17">
        <f t="shared" ca="1" si="10"/>
        <v>9.8881552583319738</v>
      </c>
      <c r="MD17">
        <f t="shared" ca="1" si="10"/>
        <v>9.8881184953770322</v>
      </c>
      <c r="ME17">
        <f t="shared" ca="1" si="10"/>
        <v>9.8959926115806827</v>
      </c>
      <c r="MF17">
        <f t="shared" ca="1" si="10"/>
        <v>9.886317549010835</v>
      </c>
      <c r="MG17">
        <f t="shared" ca="1" si="10"/>
        <v>9.8943021702007741</v>
      </c>
      <c r="MH17">
        <f t="shared" ca="1" si="10"/>
        <v>9.8903142906193455</v>
      </c>
      <c r="MI17">
        <f t="shared" ca="1" si="10"/>
        <v>9.8867329148479381</v>
      </c>
      <c r="MJ17">
        <f t="shared" ca="1" si="10"/>
        <v>9.8937002325479835</v>
      </c>
      <c r="MK17">
        <f t="shared" ca="1" si="10"/>
        <v>9.8942544890255544</v>
      </c>
      <c r="ML17">
        <f t="shared" ca="1" si="10"/>
        <v>9.8936590892813161</v>
      </c>
      <c r="MM17">
        <f t="shared" ca="1" si="10"/>
        <v>9.8872135673112904</v>
      </c>
      <c r="MN17">
        <f t="shared" ca="1" si="10"/>
        <v>9.8888353875329145</v>
      </c>
      <c r="MO17">
        <f t="shared" ca="1" si="10"/>
        <v>9.8890105369121759</v>
      </c>
      <c r="MP17">
        <f t="shared" ca="1" si="10"/>
        <v>9.8894146392462847</v>
      </c>
      <c r="MQ17">
        <f t="shared" ca="1" si="10"/>
        <v>9.8885046648647528</v>
      </c>
      <c r="MR17">
        <f t="shared" ca="1" si="10"/>
        <v>9.8905045055132632</v>
      </c>
      <c r="MS17">
        <f t="shared" ca="1" si="10"/>
        <v>9.8879058842997054</v>
      </c>
      <c r="MT17">
        <f t="shared" ca="1" si="10"/>
        <v>9.8874078055660277</v>
      </c>
      <c r="MU17">
        <f t="shared" ca="1" si="10"/>
        <v>9.8900964526711181</v>
      </c>
      <c r="MV17">
        <f t="shared" ca="1" si="10"/>
        <v>9.8894689217087546</v>
      </c>
      <c r="MW17">
        <f t="shared" ca="1" si="10"/>
        <v>9.8873204440968685</v>
      </c>
      <c r="MX17">
        <f t="shared" ca="1" si="10"/>
        <v>9.8916364661581859</v>
      </c>
      <c r="MY17">
        <f t="shared" ca="1" si="10"/>
        <v>9.8882670226335048</v>
      </c>
      <c r="MZ17">
        <f t="shared" ca="1" si="10"/>
        <v>9.8863727646321209</v>
      </c>
      <c r="NA17">
        <f t="shared" ca="1" si="10"/>
        <v>9.8907063557014343</v>
      </c>
      <c r="NB17">
        <f t="shared" ca="1" si="10"/>
        <v>9.885526981228498</v>
      </c>
      <c r="NC17">
        <f t="shared" ca="1" si="10"/>
        <v>9.8874657696045336</v>
      </c>
      <c r="ND17">
        <f t="shared" ca="1" si="10"/>
        <v>9.8871506197890557</v>
      </c>
      <c r="NE17">
        <f t="shared" ca="1" si="10"/>
        <v>9.8919821000903809</v>
      </c>
      <c r="NF17">
        <f t="shared" ca="1" si="10"/>
        <v>9.8903905158830021</v>
      </c>
      <c r="NG17">
        <f t="shared" ca="1" si="10"/>
        <v>9.8951668488038642</v>
      </c>
      <c r="NH17">
        <f t="shared" ca="1" si="10"/>
        <v>9.8882347158382231</v>
      </c>
      <c r="NI17">
        <f t="shared" ca="1" si="10"/>
        <v>9.8933273248001026</v>
      </c>
      <c r="NJ17">
        <f t="shared" ca="1" si="10"/>
        <v>9.8874067008789357</v>
      </c>
      <c r="NK17">
        <f t="shared" ca="1" si="10"/>
        <v>9.8952151911166073</v>
      </c>
      <c r="NL17">
        <f t="shared" ca="1" si="10"/>
        <v>9.8896660368823888</v>
      </c>
      <c r="NM17">
        <f t="shared" ca="1" si="10"/>
        <v>9.8901125000961709</v>
      </c>
      <c r="NN17">
        <f t="shared" ca="1" si="10"/>
        <v>9.8914313401404712</v>
      </c>
      <c r="NO17">
        <f t="shared" ca="1" si="10"/>
        <v>9.8930315437776475</v>
      </c>
      <c r="NP17">
        <f t="shared" ca="1" si="10"/>
        <v>9.8893005339225386</v>
      </c>
      <c r="NQ17">
        <f t="shared" ca="1" si="10"/>
        <v>9.8954702614016199</v>
      </c>
      <c r="NR17">
        <f t="shared" ca="1" si="10"/>
        <v>9.8911235192295521</v>
      </c>
      <c r="NS17">
        <f t="shared" ca="1" si="10"/>
        <v>9.8914576880052092</v>
      </c>
      <c r="NT17">
        <f t="shared" ca="1" si="10"/>
        <v>9.8871019294840359</v>
      </c>
      <c r="NU17">
        <f t="shared" ca="1" si="10"/>
        <v>9.8903007382646955</v>
      </c>
      <c r="NV17">
        <f t="shared" ca="1" si="10"/>
        <v>9.8855787218612576</v>
      </c>
      <c r="NW17">
        <f t="shared" ca="1" si="11"/>
        <v>9.8922889302013388</v>
      </c>
      <c r="NX17">
        <f t="shared" ca="1" si="11"/>
        <v>9.8932797207036423</v>
      </c>
      <c r="NY17">
        <f t="shared" ca="1" si="11"/>
        <v>9.8876985294663111</v>
      </c>
      <c r="NZ17">
        <f t="shared" ca="1" si="11"/>
        <v>9.8896433454630603</v>
      </c>
      <c r="OA17">
        <f t="shared" ca="1" si="11"/>
        <v>9.8902160132627532</v>
      </c>
      <c r="OB17">
        <f t="shared" ca="1" si="11"/>
        <v>9.8881865484514435</v>
      </c>
      <c r="OC17">
        <f t="shared" ca="1" si="11"/>
        <v>9.8895460120433434</v>
      </c>
      <c r="OD17">
        <f t="shared" ca="1" si="11"/>
        <v>9.8883192562033368</v>
      </c>
      <c r="OE17">
        <f t="shared" ca="1" si="11"/>
        <v>9.8908500409769466</v>
      </c>
      <c r="OF17">
        <f t="shared" ca="1" si="11"/>
        <v>9.8898759388276467</v>
      </c>
      <c r="OG17">
        <f t="shared" ca="1" si="11"/>
        <v>9.8856137663835693</v>
      </c>
      <c r="OH17">
        <f t="shared" ca="1" si="11"/>
        <v>9.8946967718618275</v>
      </c>
      <c r="OI17">
        <f t="shared" ca="1" si="11"/>
        <v>9.8940693720298416</v>
      </c>
      <c r="OJ17">
        <f t="shared" ca="1" si="11"/>
        <v>9.8889856587463694</v>
      </c>
      <c r="OK17">
        <f t="shared" ca="1" si="11"/>
        <v>9.890151599809327</v>
      </c>
      <c r="OL17">
        <f t="shared" ca="1" si="11"/>
        <v>9.888458009779578</v>
      </c>
      <c r="OM17">
        <f t="shared" ca="1" si="11"/>
        <v>9.8900171525324705</v>
      </c>
      <c r="ON17">
        <f t="shared" ca="1" si="11"/>
        <v>9.8924920082445524</v>
      </c>
      <c r="OO17">
        <f t="shared" ca="1" si="11"/>
        <v>9.8883899260347849</v>
      </c>
      <c r="OP17">
        <f t="shared" ca="1" si="11"/>
        <v>9.8878770924142803</v>
      </c>
      <c r="OQ17">
        <f t="shared" ca="1" si="11"/>
        <v>9.8869769020526341</v>
      </c>
      <c r="OR17">
        <f t="shared" ca="1" si="11"/>
        <v>9.8859787891614843</v>
      </c>
      <c r="OS17">
        <f t="shared" ca="1" si="11"/>
        <v>9.8881368915442724</v>
      </c>
      <c r="OT17">
        <f t="shared" ca="1" si="11"/>
        <v>9.8879039612708564</v>
      </c>
      <c r="OU17">
        <f t="shared" ca="1" si="11"/>
        <v>9.8919449292368142</v>
      </c>
      <c r="OV17">
        <f t="shared" ca="1" si="11"/>
        <v>9.8945972961431998</v>
      </c>
      <c r="OW17">
        <f t="shared" ca="1" si="11"/>
        <v>9.8875072247719604</v>
      </c>
      <c r="OX17">
        <f t="shared" ca="1" si="11"/>
        <v>9.8895273244773865</v>
      </c>
      <c r="OY17">
        <f t="shared" ca="1" si="11"/>
        <v>9.889138274459178</v>
      </c>
      <c r="OZ17">
        <f t="shared" ca="1" si="11"/>
        <v>9.8897499312518811</v>
      </c>
      <c r="PA17">
        <f t="shared" ca="1" si="11"/>
        <v>9.8928604207749427</v>
      </c>
      <c r="PB17">
        <f t="shared" ca="1" si="11"/>
        <v>9.8883595534408499</v>
      </c>
      <c r="PC17">
        <f t="shared" ca="1" si="11"/>
        <v>9.8868404892889146</v>
      </c>
      <c r="PD17">
        <f t="shared" ca="1" si="11"/>
        <v>9.8891434661797462</v>
      </c>
      <c r="PE17">
        <f t="shared" ca="1" si="11"/>
        <v>9.8896781581784818</v>
      </c>
      <c r="PF17">
        <f t="shared" ca="1" si="11"/>
        <v>9.8868107085546999</v>
      </c>
      <c r="PG17">
        <f t="shared" ca="1" si="11"/>
        <v>9.8900710542929158</v>
      </c>
      <c r="PH17">
        <f t="shared" ca="1" si="11"/>
        <v>9.895109434124862</v>
      </c>
      <c r="PI17">
        <f t="shared" ca="1" si="11"/>
        <v>9.8889630169414051</v>
      </c>
      <c r="PJ17">
        <f t="shared" ca="1" si="11"/>
        <v>9.8881145012269478</v>
      </c>
      <c r="PK17">
        <f t="shared" ca="1" si="11"/>
        <v>9.8889734649334038</v>
      </c>
      <c r="PL17">
        <f t="shared" ca="1" si="11"/>
        <v>9.8853308584444317</v>
      </c>
      <c r="PM17">
        <f t="shared" ca="1" si="11"/>
        <v>9.8870764982964001</v>
      </c>
      <c r="PN17">
        <f t="shared" ca="1" si="11"/>
        <v>9.8900748821724562</v>
      </c>
      <c r="PO17">
        <f t="shared" ca="1" si="11"/>
        <v>9.8927748869395646</v>
      </c>
      <c r="PP17">
        <f t="shared" ca="1" si="11"/>
        <v>9.8880214314190891</v>
      </c>
      <c r="PQ17">
        <f t="shared" ca="1" si="11"/>
        <v>9.8907597032210202</v>
      </c>
      <c r="PR17">
        <f t="shared" ca="1" si="11"/>
        <v>9.8878726667156585</v>
      </c>
      <c r="PS17">
        <f t="shared" ca="1" si="11"/>
        <v>9.8903307625004917</v>
      </c>
      <c r="PT17">
        <f t="shared" ca="1" si="11"/>
        <v>9.8940702559452021</v>
      </c>
      <c r="PU17">
        <f t="shared" ca="1" si="11"/>
        <v>9.8900410667966518</v>
      </c>
      <c r="PV17">
        <f t="shared" ca="1" si="11"/>
        <v>9.889195321425774</v>
      </c>
      <c r="PW17">
        <f t="shared" ca="1" si="11"/>
        <v>9.8901920422630845</v>
      </c>
      <c r="PX17">
        <f t="shared" ca="1" si="11"/>
        <v>9.8894796763910939</v>
      </c>
      <c r="PY17">
        <f t="shared" ca="1" si="11"/>
        <v>9.8905192334593544</v>
      </c>
      <c r="PZ17">
        <f t="shared" ca="1" si="11"/>
        <v>9.8874731816375423</v>
      </c>
      <c r="QA17">
        <f t="shared" ca="1" si="11"/>
        <v>9.8943835048932005</v>
      </c>
      <c r="QB17">
        <f t="shared" ca="1" si="11"/>
        <v>9.8880750398560284</v>
      </c>
      <c r="QC17">
        <f t="shared" ca="1" si="11"/>
        <v>9.8857114616994117</v>
      </c>
      <c r="QD17">
        <f t="shared" ca="1" si="11"/>
        <v>9.8835872986490934</v>
      </c>
      <c r="QE17">
        <f t="shared" ca="1" si="11"/>
        <v>9.8899178938350953</v>
      </c>
      <c r="QF17">
        <f t="shared" ca="1" si="11"/>
        <v>9.8925987520084995</v>
      </c>
      <c r="QG17">
        <f t="shared" ca="1" si="11"/>
        <v>9.8902386569461047</v>
      </c>
      <c r="QH17">
        <f t="shared" ca="1" si="11"/>
        <v>9.8920071919911603</v>
      </c>
      <c r="QI17">
        <f t="shared" ca="1" si="12"/>
        <v>9.8908210108175911</v>
      </c>
      <c r="QJ17">
        <f t="shared" ca="1" si="12"/>
        <v>9.8927281760365062</v>
      </c>
      <c r="QK17">
        <f t="shared" ca="1" si="12"/>
        <v>9.8864451924644978</v>
      </c>
      <c r="QL17">
        <f t="shared" ca="1" si="12"/>
        <v>9.890205565153865</v>
      </c>
      <c r="QM17">
        <f t="shared" ca="1" si="12"/>
        <v>9.8892625267229803</v>
      </c>
      <c r="QN17">
        <f t="shared" ca="1" si="12"/>
        <v>9.8916509525166454</v>
      </c>
      <c r="QO17">
        <f t="shared" ca="1" si="12"/>
        <v>9.8880352766365203</v>
      </c>
      <c r="QP17">
        <f t="shared" ca="1" si="12"/>
        <v>9.893178794500459</v>
      </c>
      <c r="QQ17">
        <f t="shared" ca="1" si="12"/>
        <v>9.8914857865715842</v>
      </c>
      <c r="QR17">
        <f t="shared" ca="1" si="12"/>
        <v>9.8914267661051642</v>
      </c>
      <c r="QS17">
        <f t="shared" ca="1" si="12"/>
        <v>9.8850548140157262</v>
      </c>
      <c r="QT17">
        <f t="shared" ca="1" si="12"/>
        <v>9.8899690685004078</v>
      </c>
      <c r="QU17">
        <f t="shared" ca="1" si="12"/>
        <v>9.8923060618000669</v>
      </c>
      <c r="QV17">
        <f t="shared" ca="1" si="12"/>
        <v>9.8881538867267711</v>
      </c>
      <c r="QW17">
        <f t="shared" ca="1" si="12"/>
        <v>9.8869615624622984</v>
      </c>
      <c r="QX17">
        <f t="shared" ca="1" si="12"/>
        <v>9.8898225814210949</v>
      </c>
      <c r="QY17">
        <f t="shared" ca="1" si="12"/>
        <v>9.891612400149322</v>
      </c>
      <c r="QZ17">
        <f t="shared" ca="1" si="12"/>
        <v>9.8882619005437373</v>
      </c>
      <c r="RA17">
        <f t="shared" ca="1" si="12"/>
        <v>9.8890506292311997</v>
      </c>
      <c r="RB17">
        <f t="shared" ca="1" si="12"/>
        <v>9.8932656167852251</v>
      </c>
      <c r="RC17">
        <f t="shared" ca="1" si="12"/>
        <v>9.8893871403449864</v>
      </c>
      <c r="RD17">
        <f t="shared" ca="1" si="12"/>
        <v>9.8831336180228071</v>
      </c>
      <c r="RE17">
        <f t="shared" ca="1" si="12"/>
        <v>9.8882515165292926</v>
      </c>
      <c r="RF17">
        <f t="shared" ca="1" si="12"/>
        <v>9.8919275042700452</v>
      </c>
      <c r="RG17">
        <f t="shared" ca="1" si="12"/>
        <v>9.8929676765111623</v>
      </c>
      <c r="RH17">
        <f t="shared" ca="1" si="12"/>
        <v>9.8903894232465461</v>
      </c>
      <c r="RI17">
        <f t="shared" ca="1" si="12"/>
        <v>9.8883975213741717</v>
      </c>
      <c r="RJ17">
        <f t="shared" ca="1" si="12"/>
        <v>9.8835264737033963</v>
      </c>
      <c r="RK17">
        <f t="shared" ca="1" si="12"/>
        <v>9.890947558477496</v>
      </c>
      <c r="RL17">
        <f t="shared" ca="1" si="12"/>
        <v>9.8880720011441454</v>
      </c>
      <c r="RM17">
        <f t="shared" ca="1" si="12"/>
        <v>9.8910168847907673</v>
      </c>
      <c r="RN17">
        <f t="shared" ca="1" si="12"/>
        <v>9.8894988106628734</v>
      </c>
      <c r="RO17">
        <f t="shared" ca="1" si="12"/>
        <v>9.8896144833443387</v>
      </c>
      <c r="RP17">
        <f t="shared" ca="1" si="12"/>
        <v>9.8942088961135557</v>
      </c>
      <c r="RQ17">
        <f t="shared" ca="1" si="12"/>
        <v>9.8871935855724704</v>
      </c>
      <c r="RR17">
        <f t="shared" ca="1" si="12"/>
        <v>9.8878267117113907</v>
      </c>
      <c r="RS17">
        <f t="shared" ca="1" si="12"/>
        <v>9.8901620583577223</v>
      </c>
      <c r="RT17">
        <f t="shared" ca="1" si="12"/>
        <v>9.8905995661182811</v>
      </c>
      <c r="RU17">
        <f t="shared" ca="1" si="12"/>
        <v>9.8905899601170688</v>
      </c>
      <c r="RV17">
        <f t="shared" ca="1" si="12"/>
        <v>9.8912299284020868</v>
      </c>
      <c r="RW17">
        <f t="shared" ca="1" si="12"/>
        <v>9.8900389700202229</v>
      </c>
      <c r="RX17">
        <f t="shared" ca="1" si="12"/>
        <v>9.8936037163843515</v>
      </c>
      <c r="RY17">
        <f t="shared" ca="1" si="12"/>
        <v>9.8857984610162806</v>
      </c>
      <c r="RZ17">
        <f t="shared" ca="1" si="12"/>
        <v>9.8936706961202212</v>
      </c>
      <c r="SA17">
        <f t="shared" ca="1" si="12"/>
        <v>9.8901393889281195</v>
      </c>
      <c r="SB17">
        <f t="shared" ca="1" si="12"/>
        <v>9.8912449451025317</v>
      </c>
      <c r="SC17">
        <f t="shared" ca="1" si="12"/>
        <v>9.8906522402560828</v>
      </c>
      <c r="SD17">
        <f t="shared" ca="1" si="12"/>
        <v>9.891085004373517</v>
      </c>
      <c r="SE17">
        <f t="shared" ca="1" si="12"/>
        <v>9.8885010722971423</v>
      </c>
      <c r="SF17">
        <f t="shared" ca="1" si="12"/>
        <v>9.8899101800343203</v>
      </c>
      <c r="SG17">
        <f t="shared" ca="1" si="12"/>
        <v>9.8932173130013279</v>
      </c>
    </row>
    <row r="18" spans="1:501" x14ac:dyDescent="0.3">
      <c r="A18" s="1">
        <v>45787</v>
      </c>
      <c r="B18">
        <f t="shared" ca="1" si="13"/>
        <v>9.9949035672766655</v>
      </c>
      <c r="C18">
        <f t="shared" ca="1" si="14"/>
        <v>10.002175851985825</v>
      </c>
      <c r="D18">
        <f t="shared" ca="1" si="14"/>
        <v>10.003365188396732</v>
      </c>
      <c r="E18">
        <f t="shared" ca="1" si="14"/>
        <v>10.004798581054397</v>
      </c>
      <c r="F18">
        <f t="shared" ca="1" si="14"/>
        <v>10.002346674354106</v>
      </c>
      <c r="G18">
        <f t="shared" ca="1" si="14"/>
        <v>10.000921166850258</v>
      </c>
      <c r="H18">
        <f t="shared" ca="1" si="14"/>
        <v>9.9968963875934591</v>
      </c>
      <c r="I18">
        <f t="shared" ca="1" si="14"/>
        <v>10.005922244756258</v>
      </c>
      <c r="J18">
        <f t="shared" ca="1" si="14"/>
        <v>10.000038141449972</v>
      </c>
      <c r="K18">
        <f t="shared" ca="1" si="14"/>
        <v>9.9953092530242209</v>
      </c>
      <c r="L18">
        <f t="shared" ca="1" si="14"/>
        <v>9.9993597254278423</v>
      </c>
      <c r="M18">
        <f t="shared" ca="1" si="14"/>
        <v>9.9998134167510155</v>
      </c>
      <c r="N18">
        <f t="shared" ca="1" si="14"/>
        <v>10.004087637172308</v>
      </c>
      <c r="O18">
        <f t="shared" ca="1" si="14"/>
        <v>10.002324913593553</v>
      </c>
      <c r="P18">
        <f t="shared" ca="1" si="14"/>
        <v>9.9986280429122161</v>
      </c>
      <c r="Q18">
        <f t="shared" ca="1" si="14"/>
        <v>10.004451148587725</v>
      </c>
      <c r="R18">
        <f t="shared" ca="1" si="14"/>
        <v>9.9984537803158542</v>
      </c>
      <c r="S18">
        <f t="shared" ca="1" si="14"/>
        <v>9.9993007383639316</v>
      </c>
      <c r="T18">
        <f t="shared" ca="1" si="14"/>
        <v>9.9993679230456465</v>
      </c>
      <c r="U18">
        <f t="shared" ca="1" si="14"/>
        <v>10.000386011385448</v>
      </c>
      <c r="V18">
        <f t="shared" ca="1" si="14"/>
        <v>9.9993339197951556</v>
      </c>
      <c r="W18">
        <f t="shared" ca="1" si="14"/>
        <v>10.00393855957342</v>
      </c>
      <c r="X18">
        <f t="shared" ca="1" si="14"/>
        <v>10.004414748630976</v>
      </c>
      <c r="Y18">
        <f t="shared" ca="1" si="14"/>
        <v>10.000243238881412</v>
      </c>
      <c r="Z18">
        <f t="shared" ca="1" si="14"/>
        <v>10.002797598802413</v>
      </c>
      <c r="AA18">
        <f t="shared" ca="1" si="14"/>
        <v>9.9961308085157601</v>
      </c>
      <c r="AB18">
        <f t="shared" ca="1" si="14"/>
        <v>9.9968262052885652</v>
      </c>
      <c r="AC18">
        <f t="shared" ca="1" si="14"/>
        <v>10.000465397277502</v>
      </c>
      <c r="AD18">
        <f t="shared" ca="1" si="14"/>
        <v>9.9964149940469458</v>
      </c>
      <c r="AE18">
        <f t="shared" ca="1" si="14"/>
        <v>9.9994709380703792</v>
      </c>
      <c r="AF18">
        <f t="shared" ca="1" si="14"/>
        <v>9.9998075082260236</v>
      </c>
      <c r="AG18">
        <f t="shared" ca="1" si="14"/>
        <v>10.000714005904982</v>
      </c>
      <c r="AH18">
        <f t="shared" ca="1" si="14"/>
        <v>10.001479367820217</v>
      </c>
      <c r="AI18">
        <f t="shared" ca="1" si="14"/>
        <v>10.000506726932558</v>
      </c>
      <c r="AJ18">
        <f t="shared" ca="1" si="14"/>
        <v>10.000093308493042</v>
      </c>
      <c r="AK18">
        <f t="shared" ca="1" si="14"/>
        <v>9.9996343991542336</v>
      </c>
      <c r="AL18">
        <f t="shared" ca="1" si="14"/>
        <v>10.002793205007183</v>
      </c>
      <c r="AM18">
        <f t="shared" ca="1" si="14"/>
        <v>10.004147860855397</v>
      </c>
      <c r="AN18">
        <f t="shared" ca="1" si="14"/>
        <v>9.9995146926852065</v>
      </c>
      <c r="AO18">
        <f t="shared" ca="1" si="14"/>
        <v>9.9969428795441679</v>
      </c>
      <c r="AP18">
        <f t="shared" ca="1" si="14"/>
        <v>9.9994064613123221</v>
      </c>
      <c r="AQ18">
        <f t="shared" ca="1" si="14"/>
        <v>9.9992406004062691</v>
      </c>
      <c r="AR18">
        <f t="shared" ca="1" si="14"/>
        <v>10.000293558230521</v>
      </c>
      <c r="AS18">
        <f t="shared" ca="1" si="14"/>
        <v>9.9971697922999638</v>
      </c>
      <c r="AT18">
        <f t="shared" ca="1" si="14"/>
        <v>10.002888040052508</v>
      </c>
      <c r="AU18">
        <f t="shared" ca="1" si="14"/>
        <v>9.9998990013652396</v>
      </c>
      <c r="AV18">
        <f t="shared" ca="1" si="14"/>
        <v>9.9945739385205226</v>
      </c>
      <c r="AW18">
        <f t="shared" ca="1" si="14"/>
        <v>9.996200505273249</v>
      </c>
      <c r="AX18">
        <f t="shared" ca="1" si="14"/>
        <v>9.999814521420495</v>
      </c>
      <c r="AY18">
        <f t="shared" ca="1" si="14"/>
        <v>10.00220957529805</v>
      </c>
      <c r="AZ18">
        <f t="shared" ca="1" si="14"/>
        <v>9.9977771840807321</v>
      </c>
      <c r="BA18">
        <f t="shared" ca="1" si="14"/>
        <v>10.004007225935375</v>
      </c>
      <c r="BB18">
        <f t="shared" ca="1" si="14"/>
        <v>9.9963673134766466</v>
      </c>
      <c r="BC18">
        <f t="shared" ca="1" si="14"/>
        <v>10.003844490804584</v>
      </c>
      <c r="BD18">
        <f t="shared" ca="1" si="14"/>
        <v>10.001830659768435</v>
      </c>
      <c r="BE18">
        <f t="shared" ca="1" si="14"/>
        <v>10.001403330822317</v>
      </c>
      <c r="BF18">
        <f t="shared" ca="1" si="14"/>
        <v>9.9965101827157063</v>
      </c>
      <c r="BG18">
        <f t="shared" ca="1" si="14"/>
        <v>9.9998182977384502</v>
      </c>
      <c r="BH18">
        <f t="shared" ca="1" si="14"/>
        <v>10.001910781121863</v>
      </c>
      <c r="BI18">
        <f t="shared" ca="1" si="14"/>
        <v>10.001749248053777</v>
      </c>
      <c r="BJ18">
        <f t="shared" ca="1" si="14"/>
        <v>10.000868871078923</v>
      </c>
      <c r="BK18">
        <f t="shared" ca="1" si="14"/>
        <v>9.9950318833782319</v>
      </c>
      <c r="BL18">
        <f t="shared" ca="1" si="14"/>
        <v>10.001502036072756</v>
      </c>
      <c r="BM18">
        <f t="shared" ca="1" si="14"/>
        <v>10.001533672244998</v>
      </c>
      <c r="BN18">
        <f t="shared" ca="1" si="14"/>
        <v>10.001738106412388</v>
      </c>
      <c r="BO18">
        <f t="shared" ca="1" si="6"/>
        <v>10.000197943191779</v>
      </c>
      <c r="BP18">
        <f t="shared" ca="1" si="6"/>
        <v>9.9985780932529593</v>
      </c>
      <c r="BQ18">
        <f t="shared" ca="1" si="6"/>
        <v>10.001948699439218</v>
      </c>
      <c r="BR18">
        <f t="shared" ca="1" si="6"/>
        <v>10.002626312428365</v>
      </c>
      <c r="BS18">
        <f t="shared" ca="1" si="6"/>
        <v>9.9981824848401555</v>
      </c>
      <c r="BT18">
        <f t="shared" ca="1" si="6"/>
        <v>9.998727948860358</v>
      </c>
      <c r="BU18">
        <f t="shared" ca="1" si="6"/>
        <v>10.005383298172969</v>
      </c>
      <c r="BV18">
        <f t="shared" ca="1" si="6"/>
        <v>10.00023198312244</v>
      </c>
      <c r="BW18">
        <f t="shared" ca="1" si="6"/>
        <v>9.9976305952083475</v>
      </c>
      <c r="BX18">
        <f t="shared" ca="1" si="6"/>
        <v>10.001545773006795</v>
      </c>
      <c r="BY18">
        <f t="shared" ca="1" si="6"/>
        <v>9.9994798634168767</v>
      </c>
      <c r="BZ18">
        <f t="shared" ca="1" si="6"/>
        <v>9.9986693601042802</v>
      </c>
      <c r="CA18">
        <f t="shared" ca="1" si="6"/>
        <v>9.9984160670783968</v>
      </c>
      <c r="CB18">
        <f t="shared" ca="1" si="6"/>
        <v>9.9998350774349234</v>
      </c>
      <c r="CC18">
        <f t="shared" ca="1" si="6"/>
        <v>10.000570168787444</v>
      </c>
      <c r="CD18">
        <f t="shared" ca="1" si="6"/>
        <v>9.9945566046724874</v>
      </c>
      <c r="CE18">
        <f t="shared" ca="1" si="6"/>
        <v>9.9964777130056461</v>
      </c>
      <c r="CF18">
        <f t="shared" ca="1" si="6"/>
        <v>9.9964756857814372</v>
      </c>
      <c r="CG18">
        <f t="shared" ca="1" si="6"/>
        <v>10.003790898837011</v>
      </c>
      <c r="CH18">
        <f t="shared" ca="1" si="6"/>
        <v>9.9980682755872543</v>
      </c>
      <c r="CI18">
        <f t="shared" ca="1" si="6"/>
        <v>10.000911196095011</v>
      </c>
      <c r="CJ18">
        <f t="shared" ca="1" si="6"/>
        <v>9.9986471775680137</v>
      </c>
      <c r="CK18">
        <f t="shared" ca="1" si="6"/>
        <v>10.005165351370023</v>
      </c>
      <c r="CL18">
        <f t="shared" ca="1" si="6"/>
        <v>9.9964630296726664</v>
      </c>
      <c r="CM18">
        <f t="shared" ca="1" si="6"/>
        <v>10.000394448021906</v>
      </c>
      <c r="CN18">
        <f t="shared" ca="1" si="6"/>
        <v>9.9989157186258666</v>
      </c>
      <c r="CO18">
        <f t="shared" ca="1" si="6"/>
        <v>10.001443365949758</v>
      </c>
      <c r="CP18">
        <f t="shared" ca="1" si="6"/>
        <v>10.003020268701732</v>
      </c>
      <c r="CQ18">
        <f t="shared" ca="1" si="6"/>
        <v>9.9976517165469652</v>
      </c>
      <c r="CR18">
        <f t="shared" ca="1" si="6"/>
        <v>9.998474608773174</v>
      </c>
      <c r="CS18">
        <f t="shared" ca="1" si="6"/>
        <v>10.001659343645624</v>
      </c>
      <c r="CT18">
        <f t="shared" ca="1" si="6"/>
        <v>9.9964999910668944</v>
      </c>
      <c r="CU18">
        <f t="shared" ca="1" si="6"/>
        <v>9.99878820025571</v>
      </c>
      <c r="CV18">
        <f t="shared" ca="1" si="6"/>
        <v>9.9950960237642565</v>
      </c>
      <c r="CW18">
        <f t="shared" ca="1" si="6"/>
        <v>9.9959485434939559</v>
      </c>
      <c r="CX18">
        <f t="shared" ca="1" si="6"/>
        <v>9.9972654286472658</v>
      </c>
      <c r="CY18">
        <f t="shared" ca="1" si="6"/>
        <v>10.001691381684418</v>
      </c>
      <c r="CZ18">
        <f t="shared" ca="1" si="6"/>
        <v>10.004440667190311</v>
      </c>
      <c r="DA18">
        <f t="shared" ca="1" si="6"/>
        <v>10.000423748580644</v>
      </c>
      <c r="DB18">
        <f t="shared" ca="1" si="6"/>
        <v>9.9992968479025883</v>
      </c>
      <c r="DC18">
        <f t="shared" ca="1" si="6"/>
        <v>10.001172775439866</v>
      </c>
      <c r="DD18">
        <f t="shared" ca="1" si="6"/>
        <v>9.9942922614371703</v>
      </c>
      <c r="DE18">
        <f t="shared" ca="1" si="6"/>
        <v>9.9990420354955116</v>
      </c>
      <c r="DF18">
        <f t="shared" ca="1" si="6"/>
        <v>10.00050490375939</v>
      </c>
      <c r="DG18">
        <f t="shared" ca="1" si="6"/>
        <v>9.998776436118801</v>
      </c>
      <c r="DH18">
        <f t="shared" ca="1" si="6"/>
        <v>9.998221427337814</v>
      </c>
      <c r="DI18">
        <f t="shared" ca="1" si="6"/>
        <v>9.9990970315298515</v>
      </c>
      <c r="DJ18">
        <f t="shared" ca="1" si="6"/>
        <v>10.000143788996658</v>
      </c>
      <c r="DK18">
        <f t="shared" ca="1" si="6"/>
        <v>10.000114308750847</v>
      </c>
      <c r="DL18">
        <f t="shared" ca="1" si="6"/>
        <v>9.9998900564514575</v>
      </c>
      <c r="DM18">
        <f t="shared" ca="1" si="6"/>
        <v>9.9964899944776135</v>
      </c>
      <c r="DN18">
        <f t="shared" ca="1" si="6"/>
        <v>9.9989279729349416</v>
      </c>
      <c r="DO18">
        <f t="shared" ca="1" si="6"/>
        <v>9.998312429276373</v>
      </c>
      <c r="DP18">
        <f t="shared" ca="1" si="6"/>
        <v>9.9997365659701991</v>
      </c>
      <c r="DQ18">
        <f t="shared" ca="1" si="6"/>
        <v>9.9968546567741008</v>
      </c>
      <c r="DR18">
        <f t="shared" ca="1" si="6"/>
        <v>10.008431258193475</v>
      </c>
      <c r="DS18">
        <f t="shared" ca="1" si="6"/>
        <v>9.9969122954289755</v>
      </c>
      <c r="DT18">
        <f t="shared" ca="1" si="6"/>
        <v>10.000886960865694</v>
      </c>
      <c r="DU18">
        <f t="shared" ca="1" si="6"/>
        <v>9.9991414702181416</v>
      </c>
      <c r="DV18">
        <f t="shared" ca="1" si="6"/>
        <v>9.9976356030125615</v>
      </c>
      <c r="DW18">
        <f t="shared" ca="1" si="6"/>
        <v>9.9981742787853776</v>
      </c>
      <c r="DX18">
        <f t="shared" ca="1" si="6"/>
        <v>9.9968024083389047</v>
      </c>
      <c r="DY18">
        <f t="shared" ca="1" si="6"/>
        <v>9.9996678866466837</v>
      </c>
      <c r="DZ18">
        <f t="shared" ref="DZ18:GK22" ca="1" si="15">$B5*EXP(($I5-($H5^2)/2)*(1/52)+$H5*SQRT(1/52)*_xlfn.NORM.INV(RAND(),0,1))</f>
        <v>10.00165703552214</v>
      </c>
      <c r="EA18">
        <f t="shared" ca="1" si="15"/>
        <v>10.004663446006731</v>
      </c>
      <c r="EB18">
        <f t="shared" ca="1" si="15"/>
        <v>9.9998410770518902</v>
      </c>
      <c r="EC18">
        <f t="shared" ca="1" si="15"/>
        <v>10.003034626375275</v>
      </c>
      <c r="ED18">
        <f t="shared" ca="1" si="15"/>
        <v>10.000260256404218</v>
      </c>
      <c r="EE18">
        <f t="shared" ca="1" si="15"/>
        <v>9.9963475399694719</v>
      </c>
      <c r="EF18">
        <f t="shared" ca="1" si="15"/>
        <v>9.9996365392874296</v>
      </c>
      <c r="EG18">
        <f t="shared" ca="1" si="15"/>
        <v>10.002707141303295</v>
      </c>
      <c r="EH18">
        <f t="shared" ca="1" si="15"/>
        <v>9.9977957677798273</v>
      </c>
      <c r="EI18">
        <f t="shared" ca="1" si="15"/>
        <v>10.005045322395446</v>
      </c>
      <c r="EJ18">
        <f t="shared" ca="1" si="15"/>
        <v>9.9988258987510719</v>
      </c>
      <c r="EK18">
        <f t="shared" ca="1" si="15"/>
        <v>10.000250841051528</v>
      </c>
      <c r="EL18">
        <f t="shared" ca="1" si="15"/>
        <v>9.9924499374605524</v>
      </c>
      <c r="EM18">
        <f t="shared" ca="1" si="15"/>
        <v>9.9958446213963636</v>
      </c>
      <c r="EN18">
        <f t="shared" ca="1" si="15"/>
        <v>9.998238617114076</v>
      </c>
      <c r="EO18">
        <f t="shared" ca="1" si="15"/>
        <v>9.9970432492601944</v>
      </c>
      <c r="EP18">
        <f t="shared" ca="1" si="15"/>
        <v>9.9986149603428824</v>
      </c>
      <c r="EQ18">
        <f t="shared" ca="1" si="15"/>
        <v>10.001715018274444</v>
      </c>
      <c r="ER18">
        <f t="shared" ca="1" si="15"/>
        <v>9.9964679404332841</v>
      </c>
      <c r="ES18">
        <f t="shared" ca="1" si="15"/>
        <v>10.000054874052363</v>
      </c>
      <c r="ET18">
        <f t="shared" ca="1" si="15"/>
        <v>9.9961017079370365</v>
      </c>
      <c r="EU18">
        <f t="shared" ca="1" si="15"/>
        <v>10.001409993613359</v>
      </c>
      <c r="EV18">
        <f t="shared" ca="1" si="15"/>
        <v>10.001654490042604</v>
      </c>
      <c r="EW18">
        <f t="shared" ca="1" si="15"/>
        <v>10.000264431675438</v>
      </c>
      <c r="EX18">
        <f t="shared" ca="1" si="15"/>
        <v>10.000120675307425</v>
      </c>
      <c r="EY18">
        <f t="shared" ca="1" si="15"/>
        <v>9.9956038325031731</v>
      </c>
      <c r="EZ18">
        <f t="shared" ca="1" si="15"/>
        <v>10.00145757543681</v>
      </c>
      <c r="FA18">
        <f t="shared" ca="1" si="15"/>
        <v>10.00402532892862</v>
      </c>
      <c r="FB18">
        <f t="shared" ca="1" si="15"/>
        <v>9.9957907068685241</v>
      </c>
      <c r="FC18">
        <f t="shared" ca="1" si="15"/>
        <v>9.9988542301219372</v>
      </c>
      <c r="FD18">
        <f t="shared" ca="1" si="15"/>
        <v>10.001630527211047</v>
      </c>
      <c r="FE18">
        <f t="shared" ca="1" si="15"/>
        <v>9.9997889635677044</v>
      </c>
      <c r="FF18">
        <f t="shared" ca="1" si="15"/>
        <v>9.9986475674793205</v>
      </c>
      <c r="FG18">
        <f t="shared" ca="1" si="15"/>
        <v>10.001182885780169</v>
      </c>
      <c r="FH18">
        <f t="shared" ca="1" si="15"/>
        <v>10.002155185360293</v>
      </c>
      <c r="FI18">
        <f t="shared" ca="1" si="15"/>
        <v>10.002208646722934</v>
      </c>
      <c r="FJ18">
        <f t="shared" ca="1" si="15"/>
        <v>10.001980661274864</v>
      </c>
      <c r="FK18">
        <f t="shared" ca="1" si="15"/>
        <v>9.9995039312252771</v>
      </c>
      <c r="FL18">
        <f t="shared" ca="1" si="15"/>
        <v>9.9988583793657266</v>
      </c>
      <c r="FM18">
        <f t="shared" ca="1" si="15"/>
        <v>9.9962052607787353</v>
      </c>
      <c r="FN18">
        <f t="shared" ca="1" si="15"/>
        <v>9.9981418072358323</v>
      </c>
      <c r="FO18">
        <f t="shared" ca="1" si="15"/>
        <v>9.9970574877571288</v>
      </c>
      <c r="FP18">
        <f t="shared" ca="1" si="15"/>
        <v>9.9980902970877477</v>
      </c>
      <c r="FQ18">
        <f t="shared" ca="1" si="15"/>
        <v>9.9986323853669106</v>
      </c>
      <c r="FR18">
        <f t="shared" ca="1" si="15"/>
        <v>10.001060770454163</v>
      </c>
      <c r="FS18">
        <f t="shared" ca="1" si="15"/>
        <v>10.002196844034234</v>
      </c>
      <c r="FT18">
        <f t="shared" ca="1" si="15"/>
        <v>10.00334788547061</v>
      </c>
      <c r="FU18">
        <f t="shared" ca="1" si="15"/>
        <v>10.000411440766598</v>
      </c>
      <c r="FV18">
        <f t="shared" ca="1" si="15"/>
        <v>10.001130720181726</v>
      </c>
      <c r="FW18">
        <f t="shared" ca="1" si="15"/>
        <v>10.003602171650279</v>
      </c>
      <c r="FX18">
        <f t="shared" ca="1" si="15"/>
        <v>9.9968460983578407</v>
      </c>
      <c r="FY18">
        <f t="shared" ca="1" si="15"/>
        <v>9.9998478066610268</v>
      </c>
      <c r="FZ18">
        <f t="shared" ca="1" si="15"/>
        <v>9.9995813004726468</v>
      </c>
      <c r="GA18">
        <f t="shared" ca="1" si="15"/>
        <v>10.000062517070456</v>
      </c>
      <c r="GB18">
        <f t="shared" ca="1" si="15"/>
        <v>9.9985688293928749</v>
      </c>
      <c r="GC18">
        <f t="shared" ca="1" si="15"/>
        <v>9.997841167781262</v>
      </c>
      <c r="GD18">
        <f t="shared" ca="1" si="15"/>
        <v>9.9990791667616747</v>
      </c>
      <c r="GE18">
        <f t="shared" ca="1" si="15"/>
        <v>9.9992169180058745</v>
      </c>
      <c r="GF18">
        <f t="shared" ca="1" si="15"/>
        <v>9.9970196015844657</v>
      </c>
      <c r="GG18">
        <f t="shared" ca="1" si="15"/>
        <v>10.00088358810105</v>
      </c>
      <c r="GH18">
        <f t="shared" ca="1" si="15"/>
        <v>9.9985947122765193</v>
      </c>
      <c r="GI18">
        <f t="shared" ca="1" si="15"/>
        <v>9.9970631936445429</v>
      </c>
      <c r="GJ18">
        <f t="shared" ca="1" si="15"/>
        <v>9.9978870817339214</v>
      </c>
      <c r="GK18">
        <f t="shared" ca="1" si="15"/>
        <v>10.001061173545406</v>
      </c>
      <c r="GL18">
        <f t="shared" ca="1" si="7"/>
        <v>9.9988118833211157</v>
      </c>
      <c r="GM18">
        <f t="shared" ca="1" si="8"/>
        <v>9.9989718339054221</v>
      </c>
      <c r="GN18">
        <f t="shared" ca="1" si="8"/>
        <v>9.9988490915476866</v>
      </c>
      <c r="GO18">
        <f t="shared" ca="1" si="8"/>
        <v>9.9987369461947146</v>
      </c>
      <c r="GP18">
        <f t="shared" ca="1" si="8"/>
        <v>9.9993421336663637</v>
      </c>
      <c r="GQ18">
        <f t="shared" ca="1" si="8"/>
        <v>10.000957276806453</v>
      </c>
      <c r="GR18">
        <f t="shared" ca="1" si="8"/>
        <v>10.001389734836646</v>
      </c>
      <c r="GS18">
        <f t="shared" ca="1" si="8"/>
        <v>10.003169269531531</v>
      </c>
      <c r="GT18">
        <f t="shared" ca="1" si="8"/>
        <v>9.9944952440345549</v>
      </c>
      <c r="GU18">
        <f t="shared" ca="1" si="8"/>
        <v>9.9995560908655818</v>
      </c>
      <c r="GV18">
        <f t="shared" ca="1" si="8"/>
        <v>10.000048832157791</v>
      </c>
      <c r="GW18">
        <f t="shared" ca="1" si="8"/>
        <v>10.000369782806613</v>
      </c>
      <c r="GX18">
        <f t="shared" ca="1" si="8"/>
        <v>9.9963561500923444</v>
      </c>
      <c r="GY18">
        <f t="shared" ca="1" si="8"/>
        <v>10.00196839573163</v>
      </c>
      <c r="GZ18">
        <f t="shared" ca="1" si="8"/>
        <v>9.9996065527165499</v>
      </c>
      <c r="HA18">
        <f t="shared" ca="1" si="8"/>
        <v>10.000189228944866</v>
      </c>
      <c r="HB18">
        <f t="shared" ca="1" si="8"/>
        <v>9.9975782693519939</v>
      </c>
      <c r="HC18">
        <f t="shared" ca="1" si="8"/>
        <v>10.003516653277586</v>
      </c>
      <c r="HD18">
        <f t="shared" ca="1" si="8"/>
        <v>9.9969325723006417</v>
      </c>
      <c r="HE18">
        <f t="shared" ca="1" si="8"/>
        <v>10.003004985269053</v>
      </c>
      <c r="HF18">
        <f t="shared" ca="1" si="8"/>
        <v>9.9971122135076538</v>
      </c>
      <c r="HG18">
        <f t="shared" ca="1" si="8"/>
        <v>10.000230529203225</v>
      </c>
      <c r="HH18">
        <f t="shared" ca="1" si="8"/>
        <v>9.9986274658035956</v>
      </c>
      <c r="HI18">
        <f t="shared" ca="1" si="8"/>
        <v>9.9994338541206282</v>
      </c>
      <c r="HJ18">
        <f t="shared" ca="1" si="8"/>
        <v>9.9973983600021512</v>
      </c>
      <c r="HK18">
        <f t="shared" ca="1" si="8"/>
        <v>10.000247252750041</v>
      </c>
      <c r="HL18">
        <f t="shared" ca="1" si="8"/>
        <v>10.000772573733821</v>
      </c>
      <c r="HM18">
        <f t="shared" ca="1" si="8"/>
        <v>9.9989303070484166</v>
      </c>
      <c r="HN18">
        <f t="shared" ca="1" si="8"/>
        <v>10.001426228300563</v>
      </c>
      <c r="HO18">
        <f t="shared" ca="1" si="8"/>
        <v>9.9959149393663225</v>
      </c>
      <c r="HP18">
        <f t="shared" ca="1" si="8"/>
        <v>9.9978569618999504</v>
      </c>
      <c r="HQ18">
        <f t="shared" ca="1" si="8"/>
        <v>9.9984498970332076</v>
      </c>
      <c r="HR18">
        <f t="shared" ca="1" si="8"/>
        <v>9.9983269219544884</v>
      </c>
      <c r="HS18">
        <f t="shared" ca="1" si="8"/>
        <v>9.999587125374326</v>
      </c>
      <c r="HT18">
        <f t="shared" ca="1" si="8"/>
        <v>10.001586840891727</v>
      </c>
      <c r="HU18">
        <f t="shared" ca="1" si="8"/>
        <v>10.001735622734106</v>
      </c>
      <c r="HV18">
        <f t="shared" ca="1" si="8"/>
        <v>10.001667539752702</v>
      </c>
      <c r="HW18">
        <f t="shared" ca="1" si="8"/>
        <v>9.9997902375308652</v>
      </c>
      <c r="HX18">
        <f t="shared" ca="1" si="8"/>
        <v>10.000780410409281</v>
      </c>
      <c r="HY18">
        <f t="shared" ca="1" si="8"/>
        <v>9.9982802657247145</v>
      </c>
      <c r="HZ18">
        <f t="shared" ca="1" si="8"/>
        <v>10.000269660635183</v>
      </c>
      <c r="IA18">
        <f t="shared" ca="1" si="8"/>
        <v>9.9980085036211221</v>
      </c>
      <c r="IB18">
        <f t="shared" ca="1" si="8"/>
        <v>9.9957197936381785</v>
      </c>
      <c r="IC18">
        <f t="shared" ca="1" si="8"/>
        <v>9.9981827778844128</v>
      </c>
      <c r="ID18">
        <f t="shared" ca="1" si="8"/>
        <v>9.9960655342225948</v>
      </c>
      <c r="IE18">
        <f t="shared" ca="1" si="8"/>
        <v>10.005356750138656</v>
      </c>
      <c r="IF18">
        <f t="shared" ca="1" si="8"/>
        <v>9.9951420813060619</v>
      </c>
      <c r="IG18">
        <f t="shared" ca="1" si="8"/>
        <v>10.001326961807527</v>
      </c>
      <c r="IH18">
        <f t="shared" ca="1" si="8"/>
        <v>10.001708921989021</v>
      </c>
      <c r="II18">
        <f t="shared" ca="1" si="8"/>
        <v>10.00260367543077</v>
      </c>
      <c r="IJ18">
        <f t="shared" ca="1" si="8"/>
        <v>9.9984585852817816</v>
      </c>
      <c r="IK18">
        <f t="shared" ca="1" si="8"/>
        <v>10.003217726300633</v>
      </c>
      <c r="IL18">
        <f t="shared" ca="1" si="8"/>
        <v>10.005775716156842</v>
      </c>
      <c r="IM18">
        <f t="shared" ca="1" si="8"/>
        <v>10.002400732283011</v>
      </c>
      <c r="IN18">
        <f t="shared" ca="1" si="8"/>
        <v>10.000602637460965</v>
      </c>
      <c r="IO18">
        <f t="shared" ca="1" si="8"/>
        <v>9.9998443098475907</v>
      </c>
      <c r="IP18">
        <f t="shared" ca="1" si="8"/>
        <v>9.99827177861129</v>
      </c>
      <c r="IQ18">
        <f t="shared" ca="1" si="8"/>
        <v>9.9987136674000823</v>
      </c>
      <c r="IR18">
        <f t="shared" ca="1" si="8"/>
        <v>9.9982126787456203</v>
      </c>
      <c r="IS18">
        <f t="shared" ca="1" si="8"/>
        <v>9.9993868306004483</v>
      </c>
      <c r="IT18">
        <f t="shared" ca="1" si="8"/>
        <v>9.9957420458863879</v>
      </c>
      <c r="IU18">
        <f t="shared" ca="1" si="8"/>
        <v>10.002133885383763</v>
      </c>
      <c r="IV18">
        <f t="shared" ca="1" si="8"/>
        <v>9.9961311290314203</v>
      </c>
      <c r="IW18">
        <f t="shared" ca="1" si="8"/>
        <v>10.002510752788032</v>
      </c>
      <c r="IX18">
        <f t="shared" ref="IX18:LI22" ca="1" si="16">$B5*EXP(($I5-($H5^2)/2)*(1/52)+$H5*SQRT(1/52)*_xlfn.NORM.INV(RAND(),0,1))</f>
        <v>10.000002372693992</v>
      </c>
      <c r="IY18">
        <f t="shared" ca="1" si="16"/>
        <v>9.9989077705498026</v>
      </c>
      <c r="IZ18">
        <f t="shared" ca="1" si="16"/>
        <v>9.9963744302932973</v>
      </c>
      <c r="JA18">
        <f t="shared" ca="1" si="16"/>
        <v>9.9989574349180952</v>
      </c>
      <c r="JB18">
        <f t="shared" ca="1" si="16"/>
        <v>9.9977555125017759</v>
      </c>
      <c r="JC18">
        <f t="shared" ca="1" si="16"/>
        <v>9.998555029529367</v>
      </c>
      <c r="JD18">
        <f t="shared" ca="1" si="16"/>
        <v>9.9946741290600158</v>
      </c>
      <c r="JE18">
        <f t="shared" ca="1" si="16"/>
        <v>10.000466267843846</v>
      </c>
      <c r="JF18">
        <f t="shared" ca="1" si="16"/>
        <v>9.9986740673344396</v>
      </c>
      <c r="JG18">
        <f t="shared" ca="1" si="16"/>
        <v>10.002756264982548</v>
      </c>
      <c r="JH18">
        <f t="shared" ca="1" si="16"/>
        <v>10.001117985545742</v>
      </c>
      <c r="JI18">
        <f t="shared" ca="1" si="16"/>
        <v>10.00237551121781</v>
      </c>
      <c r="JJ18">
        <f t="shared" ca="1" si="16"/>
        <v>10.001924715213818</v>
      </c>
      <c r="JK18">
        <f t="shared" ca="1" si="16"/>
        <v>10.000230644147333</v>
      </c>
      <c r="JL18">
        <f t="shared" ca="1" si="16"/>
        <v>9.995918023586821</v>
      </c>
      <c r="JM18">
        <f t="shared" ca="1" si="16"/>
        <v>9.9975061777497487</v>
      </c>
      <c r="JN18">
        <f t="shared" ca="1" si="16"/>
        <v>9.9985938813212805</v>
      </c>
      <c r="JO18">
        <f t="shared" ca="1" si="16"/>
        <v>9.9972749649255146</v>
      </c>
      <c r="JP18">
        <f t="shared" ca="1" si="16"/>
        <v>10.000571038505178</v>
      </c>
      <c r="JQ18">
        <f t="shared" ca="1" si="16"/>
        <v>10.00166082532691</v>
      </c>
      <c r="JR18">
        <f t="shared" ca="1" si="16"/>
        <v>10.004052298069663</v>
      </c>
      <c r="JS18">
        <f t="shared" ca="1" si="16"/>
        <v>10.000003183358029</v>
      </c>
      <c r="JT18">
        <f t="shared" ca="1" si="16"/>
        <v>9.9981848440434025</v>
      </c>
      <c r="JU18">
        <f t="shared" ca="1" si="16"/>
        <v>9.9980173002795887</v>
      </c>
      <c r="JV18">
        <f t="shared" ca="1" si="16"/>
        <v>10.000274846892264</v>
      </c>
      <c r="JW18">
        <f t="shared" ca="1" si="16"/>
        <v>9.9999036654135747</v>
      </c>
      <c r="JX18">
        <f t="shared" ca="1" si="16"/>
        <v>9.9977807237221477</v>
      </c>
      <c r="JY18">
        <f t="shared" ca="1" si="16"/>
        <v>10.000642386376162</v>
      </c>
      <c r="JZ18">
        <f t="shared" ca="1" si="16"/>
        <v>10.00160587001835</v>
      </c>
      <c r="KA18">
        <f t="shared" ca="1" si="16"/>
        <v>9.9998700806875682</v>
      </c>
      <c r="KB18">
        <f t="shared" ca="1" si="16"/>
        <v>9.9988181528028885</v>
      </c>
      <c r="KC18">
        <f t="shared" ca="1" si="16"/>
        <v>10.000372587350949</v>
      </c>
      <c r="KD18">
        <f t="shared" ca="1" si="16"/>
        <v>10.002778818858097</v>
      </c>
      <c r="KE18">
        <f t="shared" ca="1" si="16"/>
        <v>10.003022995049859</v>
      </c>
      <c r="KF18">
        <f t="shared" ca="1" si="16"/>
        <v>10.000595631928142</v>
      </c>
      <c r="KG18">
        <f t="shared" ca="1" si="16"/>
        <v>10.000422549739437</v>
      </c>
      <c r="KH18">
        <f t="shared" ca="1" si="16"/>
        <v>9.9960308042028636</v>
      </c>
      <c r="KI18">
        <f t="shared" ca="1" si="16"/>
        <v>10.00214674110393</v>
      </c>
      <c r="KJ18">
        <f t="shared" ca="1" si="16"/>
        <v>9.9964650115317113</v>
      </c>
      <c r="KK18">
        <f t="shared" ca="1" si="16"/>
        <v>10.00337599498652</v>
      </c>
      <c r="KL18">
        <f t="shared" ca="1" si="16"/>
        <v>9.995530278848177</v>
      </c>
      <c r="KM18">
        <f t="shared" ca="1" si="16"/>
        <v>9.9989420882902902</v>
      </c>
      <c r="KN18">
        <f t="shared" ca="1" si="16"/>
        <v>9.9988118857976609</v>
      </c>
      <c r="KO18">
        <f t="shared" ca="1" si="16"/>
        <v>10.002134439434622</v>
      </c>
      <c r="KP18">
        <f t="shared" ca="1" si="16"/>
        <v>9.9978559986023381</v>
      </c>
      <c r="KQ18">
        <f t="shared" ca="1" si="16"/>
        <v>10.004169014939762</v>
      </c>
      <c r="KR18">
        <f t="shared" ca="1" si="16"/>
        <v>10.000433408942932</v>
      </c>
      <c r="KS18">
        <f t="shared" ca="1" si="16"/>
        <v>9.9966782695142093</v>
      </c>
      <c r="KT18">
        <f t="shared" ca="1" si="16"/>
        <v>9.9989220347158305</v>
      </c>
      <c r="KU18">
        <f t="shared" ca="1" si="16"/>
        <v>10.001234059749656</v>
      </c>
      <c r="KV18">
        <f t="shared" ca="1" si="16"/>
        <v>9.9968022373409617</v>
      </c>
      <c r="KW18">
        <f t="shared" ca="1" si="16"/>
        <v>9.9964588576829847</v>
      </c>
      <c r="KX18">
        <f t="shared" ca="1" si="16"/>
        <v>10.001424933386511</v>
      </c>
      <c r="KY18">
        <f t="shared" ca="1" si="16"/>
        <v>10.002416775911833</v>
      </c>
      <c r="KZ18">
        <f t="shared" ca="1" si="16"/>
        <v>9.9972822299109065</v>
      </c>
      <c r="LA18">
        <f t="shared" ca="1" si="16"/>
        <v>10.000128576844991</v>
      </c>
      <c r="LB18">
        <f t="shared" ca="1" si="16"/>
        <v>10.0018274278547</v>
      </c>
      <c r="LC18">
        <f t="shared" ca="1" si="16"/>
        <v>9.9983947689114405</v>
      </c>
      <c r="LD18">
        <f t="shared" ca="1" si="16"/>
        <v>10.000663265810886</v>
      </c>
      <c r="LE18">
        <f t="shared" ca="1" si="16"/>
        <v>10.000481433394253</v>
      </c>
      <c r="LF18">
        <f t="shared" ca="1" si="16"/>
        <v>10.003109859375854</v>
      </c>
      <c r="LG18">
        <f t="shared" ca="1" si="16"/>
        <v>9.9989363252522381</v>
      </c>
      <c r="LH18">
        <f t="shared" ca="1" si="16"/>
        <v>10.001150441245734</v>
      </c>
      <c r="LI18">
        <f t="shared" ca="1" si="16"/>
        <v>9.9967018407544153</v>
      </c>
      <c r="LJ18">
        <f t="shared" ca="1" si="9"/>
        <v>9.9987636090320695</v>
      </c>
      <c r="LK18">
        <f t="shared" ca="1" si="10"/>
        <v>9.9984776442849341</v>
      </c>
      <c r="LL18">
        <f t="shared" ca="1" si="10"/>
        <v>10.002785304967478</v>
      </c>
      <c r="LM18">
        <f t="shared" ca="1" si="10"/>
        <v>9.9993849666655841</v>
      </c>
      <c r="LN18">
        <f t="shared" ca="1" si="10"/>
        <v>9.995483181188721</v>
      </c>
      <c r="LO18">
        <f t="shared" ca="1" si="10"/>
        <v>9.9979737863689291</v>
      </c>
      <c r="LP18">
        <f t="shared" ca="1" si="10"/>
        <v>9.995111421305614</v>
      </c>
      <c r="LQ18">
        <f t="shared" ca="1" si="10"/>
        <v>10.002618622265558</v>
      </c>
      <c r="LR18">
        <f t="shared" ca="1" si="10"/>
        <v>9.9968833116958429</v>
      </c>
      <c r="LS18">
        <f t="shared" ca="1" si="10"/>
        <v>10.003296768153614</v>
      </c>
      <c r="LT18">
        <f t="shared" ca="1" si="10"/>
        <v>9.9966754574658694</v>
      </c>
      <c r="LU18">
        <f t="shared" ca="1" si="10"/>
        <v>10.001204294985651</v>
      </c>
      <c r="LV18">
        <f t="shared" ca="1" si="10"/>
        <v>9.999445347703233</v>
      </c>
      <c r="LW18">
        <f t="shared" ca="1" si="10"/>
        <v>9.9990888273783511</v>
      </c>
      <c r="LX18">
        <f t="shared" ca="1" si="10"/>
        <v>9.9990330352078658</v>
      </c>
      <c r="LY18">
        <f t="shared" ca="1" si="10"/>
        <v>10.004386407027251</v>
      </c>
      <c r="LZ18">
        <f t="shared" ca="1" si="10"/>
        <v>10.000906425613117</v>
      </c>
      <c r="MA18">
        <f t="shared" ca="1" si="10"/>
        <v>10.001441161626222</v>
      </c>
      <c r="MB18">
        <f t="shared" ca="1" si="10"/>
        <v>9.9992567471823328</v>
      </c>
      <c r="MC18">
        <f t="shared" ca="1" si="10"/>
        <v>10.002077258190456</v>
      </c>
      <c r="MD18">
        <f t="shared" ca="1" si="10"/>
        <v>10.002879930592233</v>
      </c>
      <c r="ME18">
        <f t="shared" ca="1" si="10"/>
        <v>10.008703731106332</v>
      </c>
      <c r="MF18">
        <f t="shared" ca="1" si="10"/>
        <v>9.996802711810588</v>
      </c>
      <c r="MG18">
        <f t="shared" ca="1" si="10"/>
        <v>9.994621244219541</v>
      </c>
      <c r="MH18">
        <f t="shared" ca="1" si="10"/>
        <v>10.002464641261176</v>
      </c>
      <c r="MI18">
        <f t="shared" ca="1" si="10"/>
        <v>10.001207583817251</v>
      </c>
      <c r="MJ18">
        <f t="shared" ca="1" si="10"/>
        <v>9.9984567059731191</v>
      </c>
      <c r="MK18">
        <f t="shared" ca="1" si="10"/>
        <v>10.003820459209606</v>
      </c>
      <c r="ML18">
        <f t="shared" ca="1" si="10"/>
        <v>9.9978663053848784</v>
      </c>
      <c r="MM18">
        <f t="shared" ca="1" si="10"/>
        <v>9.9995220939004579</v>
      </c>
      <c r="MN18">
        <f t="shared" ca="1" si="10"/>
        <v>10.005607199096062</v>
      </c>
      <c r="MO18">
        <f t="shared" ca="1" si="10"/>
        <v>10.002853304473851</v>
      </c>
      <c r="MP18">
        <f t="shared" ca="1" si="10"/>
        <v>10.00038489468092</v>
      </c>
      <c r="MQ18">
        <f t="shared" ca="1" si="10"/>
        <v>9.9982843302215798</v>
      </c>
      <c r="MR18">
        <f t="shared" ca="1" si="10"/>
        <v>10.000665350631817</v>
      </c>
      <c r="MS18">
        <f t="shared" ca="1" si="10"/>
        <v>9.9970136169397819</v>
      </c>
      <c r="MT18">
        <f t="shared" ca="1" si="10"/>
        <v>9.9996820162806888</v>
      </c>
      <c r="MU18">
        <f t="shared" ca="1" si="10"/>
        <v>10.001591269673808</v>
      </c>
      <c r="MV18">
        <f t="shared" ca="1" si="10"/>
        <v>10.000209465231238</v>
      </c>
      <c r="MW18">
        <f t="shared" ca="1" si="10"/>
        <v>10.001043317022427</v>
      </c>
      <c r="MX18">
        <f t="shared" ca="1" si="10"/>
        <v>9.9986385453851412</v>
      </c>
      <c r="MY18">
        <f t="shared" ca="1" si="10"/>
        <v>10.002485421982568</v>
      </c>
      <c r="MZ18">
        <f t="shared" ca="1" si="10"/>
        <v>9.9969311375419565</v>
      </c>
      <c r="NA18">
        <f t="shared" ca="1" si="10"/>
        <v>10.001768423760776</v>
      </c>
      <c r="NB18">
        <f t="shared" ca="1" si="10"/>
        <v>10.000174585489038</v>
      </c>
      <c r="NC18">
        <f t="shared" ca="1" si="10"/>
        <v>9.9993073974344924</v>
      </c>
      <c r="ND18">
        <f t="shared" ca="1" si="10"/>
        <v>9.9993124259266981</v>
      </c>
      <c r="NE18">
        <f t="shared" ca="1" si="10"/>
        <v>10.002691161176891</v>
      </c>
      <c r="NF18">
        <f t="shared" ca="1" si="10"/>
        <v>10.000477406970438</v>
      </c>
      <c r="NG18">
        <f t="shared" ca="1" si="10"/>
        <v>9.9985696350597095</v>
      </c>
      <c r="NH18">
        <f t="shared" ca="1" si="10"/>
        <v>9.9960984752952911</v>
      </c>
      <c r="NI18">
        <f t="shared" ca="1" si="10"/>
        <v>9.9998601050458653</v>
      </c>
      <c r="NJ18">
        <f t="shared" ca="1" si="10"/>
        <v>10.003218702434836</v>
      </c>
      <c r="NK18">
        <f t="shared" ca="1" si="10"/>
        <v>10.000190166189434</v>
      </c>
      <c r="NL18">
        <f t="shared" ca="1" si="10"/>
        <v>10.002524068916962</v>
      </c>
      <c r="NM18">
        <f t="shared" ca="1" si="10"/>
        <v>10.001305400267986</v>
      </c>
      <c r="NN18">
        <f t="shared" ca="1" si="10"/>
        <v>9.9990728121999268</v>
      </c>
      <c r="NO18">
        <f t="shared" ca="1" si="10"/>
        <v>10.001218155894993</v>
      </c>
      <c r="NP18">
        <f t="shared" ca="1" si="10"/>
        <v>10.001662693969816</v>
      </c>
      <c r="NQ18">
        <f t="shared" ca="1" si="10"/>
        <v>10.003112781743077</v>
      </c>
      <c r="NR18">
        <f t="shared" ca="1" si="10"/>
        <v>9.9955883343547551</v>
      </c>
      <c r="NS18">
        <f t="shared" ca="1" si="10"/>
        <v>10.001601302879074</v>
      </c>
      <c r="NT18">
        <f t="shared" ca="1" si="10"/>
        <v>10.000815154798907</v>
      </c>
      <c r="NU18">
        <f t="shared" ca="1" si="10"/>
        <v>10.000671209147828</v>
      </c>
      <c r="NV18">
        <f t="shared" ref="NV18:QG22" ca="1" si="17">$B5*EXP(($I5-($H5^2)/2)*(1/52)+$H5*SQRT(1/52)*_xlfn.NORM.INV(RAND(),0,1))</f>
        <v>10.001757339181038</v>
      </c>
      <c r="NW18">
        <f t="shared" ca="1" si="17"/>
        <v>10.004248208499529</v>
      </c>
      <c r="NX18">
        <f t="shared" ca="1" si="17"/>
        <v>9.9990856277465614</v>
      </c>
      <c r="NY18">
        <f t="shared" ca="1" si="17"/>
        <v>9.9981160482924345</v>
      </c>
      <c r="NZ18">
        <f t="shared" ca="1" si="17"/>
        <v>10.001219914344299</v>
      </c>
      <c r="OA18">
        <f t="shared" ca="1" si="17"/>
        <v>10.000448778860724</v>
      </c>
      <c r="OB18">
        <f t="shared" ca="1" si="17"/>
        <v>10.000690631825549</v>
      </c>
      <c r="OC18">
        <f t="shared" ca="1" si="17"/>
        <v>9.9952772111298192</v>
      </c>
      <c r="OD18">
        <f t="shared" ca="1" si="17"/>
        <v>9.9985643568634259</v>
      </c>
      <c r="OE18">
        <f t="shared" ca="1" si="17"/>
        <v>9.9984293787289023</v>
      </c>
      <c r="OF18">
        <f t="shared" ca="1" si="17"/>
        <v>10.000405672337003</v>
      </c>
      <c r="OG18">
        <f t="shared" ca="1" si="17"/>
        <v>9.9996079840631165</v>
      </c>
      <c r="OH18">
        <f t="shared" ca="1" si="17"/>
        <v>9.9958187520226822</v>
      </c>
      <c r="OI18">
        <f t="shared" ca="1" si="17"/>
        <v>9.9947945394714868</v>
      </c>
      <c r="OJ18">
        <f t="shared" ca="1" si="17"/>
        <v>9.9986821725799544</v>
      </c>
      <c r="OK18">
        <f t="shared" ca="1" si="17"/>
        <v>9.9990399847256004</v>
      </c>
      <c r="OL18">
        <f t="shared" ca="1" si="17"/>
        <v>9.9991258648312975</v>
      </c>
      <c r="OM18">
        <f t="shared" ca="1" si="17"/>
        <v>10.000482004300155</v>
      </c>
      <c r="ON18">
        <f t="shared" ca="1" si="17"/>
        <v>10.002252444733852</v>
      </c>
      <c r="OO18">
        <f t="shared" ca="1" si="17"/>
        <v>10.000159325584425</v>
      </c>
      <c r="OP18">
        <f t="shared" ca="1" si="17"/>
        <v>9.9935001308501707</v>
      </c>
      <c r="OQ18">
        <f t="shared" ca="1" si="17"/>
        <v>10.000670246486255</v>
      </c>
      <c r="OR18">
        <f t="shared" ca="1" si="17"/>
        <v>10.003464406966412</v>
      </c>
      <c r="OS18">
        <f t="shared" ca="1" si="17"/>
        <v>9.9986201834014032</v>
      </c>
      <c r="OT18">
        <f t="shared" ca="1" si="17"/>
        <v>9.9994973186560863</v>
      </c>
      <c r="OU18">
        <f t="shared" ca="1" si="17"/>
        <v>10.004147708309272</v>
      </c>
      <c r="OV18">
        <f t="shared" ca="1" si="17"/>
        <v>9.9983420018328459</v>
      </c>
      <c r="OW18">
        <f t="shared" ca="1" si="17"/>
        <v>10.001357491071509</v>
      </c>
      <c r="OX18">
        <f t="shared" ca="1" si="17"/>
        <v>10.000942994764983</v>
      </c>
      <c r="OY18">
        <f t="shared" ca="1" si="17"/>
        <v>9.9989124663523814</v>
      </c>
      <c r="OZ18">
        <f t="shared" ca="1" si="17"/>
        <v>9.9994578257727351</v>
      </c>
      <c r="PA18">
        <f t="shared" ca="1" si="17"/>
        <v>10.001113567371334</v>
      </c>
      <c r="PB18">
        <f t="shared" ca="1" si="17"/>
        <v>9.9972141857431982</v>
      </c>
      <c r="PC18">
        <f t="shared" ca="1" si="17"/>
        <v>9.9983445903528594</v>
      </c>
      <c r="PD18">
        <f t="shared" ca="1" si="17"/>
        <v>10.003791895222069</v>
      </c>
      <c r="PE18">
        <f t="shared" ca="1" si="17"/>
        <v>9.9989969899622295</v>
      </c>
      <c r="PF18">
        <f t="shared" ca="1" si="17"/>
        <v>10.000790063943244</v>
      </c>
      <c r="PG18">
        <f t="shared" ca="1" si="17"/>
        <v>9.9985767984256562</v>
      </c>
      <c r="PH18">
        <f t="shared" ca="1" si="17"/>
        <v>10.00059240468379</v>
      </c>
      <c r="PI18">
        <f t="shared" ca="1" si="17"/>
        <v>9.9948326200124438</v>
      </c>
      <c r="PJ18">
        <f t="shared" ca="1" si="17"/>
        <v>10.003947553295234</v>
      </c>
      <c r="PK18">
        <f t="shared" ca="1" si="17"/>
        <v>10.002167391372661</v>
      </c>
      <c r="PL18">
        <f t="shared" ca="1" si="17"/>
        <v>10.00457223583901</v>
      </c>
      <c r="PM18">
        <f t="shared" ca="1" si="17"/>
        <v>9.9964613485025975</v>
      </c>
      <c r="PN18">
        <f t="shared" ca="1" si="17"/>
        <v>10.000305552018132</v>
      </c>
      <c r="PO18">
        <f t="shared" ca="1" si="17"/>
        <v>9.9988541421988355</v>
      </c>
      <c r="PP18">
        <f t="shared" ca="1" si="17"/>
        <v>9.9993249395079289</v>
      </c>
      <c r="PQ18">
        <f t="shared" ca="1" si="17"/>
        <v>9.995950579533126</v>
      </c>
      <c r="PR18">
        <f t="shared" ca="1" si="17"/>
        <v>9.9994953050099991</v>
      </c>
      <c r="PS18">
        <f t="shared" ca="1" si="17"/>
        <v>10.000198123501502</v>
      </c>
      <c r="PT18">
        <f t="shared" ca="1" si="17"/>
        <v>9.9989227265960565</v>
      </c>
      <c r="PU18">
        <f t="shared" ca="1" si="17"/>
        <v>10.000451262779826</v>
      </c>
      <c r="PV18">
        <f t="shared" ca="1" si="17"/>
        <v>9.9999242546204457</v>
      </c>
      <c r="PW18">
        <f t="shared" ca="1" si="17"/>
        <v>10.000205101552108</v>
      </c>
      <c r="PX18">
        <f t="shared" ca="1" si="17"/>
        <v>9.9997849092042426</v>
      </c>
      <c r="PY18">
        <f t="shared" ca="1" si="17"/>
        <v>9.9998392183372182</v>
      </c>
      <c r="PZ18">
        <f t="shared" ca="1" si="17"/>
        <v>9.9993709109277589</v>
      </c>
      <c r="QA18">
        <f t="shared" ca="1" si="17"/>
        <v>9.9990104667222184</v>
      </c>
      <c r="QB18">
        <f t="shared" ca="1" si="17"/>
        <v>9.9987354336388421</v>
      </c>
      <c r="QC18">
        <f t="shared" ca="1" si="17"/>
        <v>10.000019629625571</v>
      </c>
      <c r="QD18">
        <f t="shared" ca="1" si="17"/>
        <v>10.000303289035603</v>
      </c>
      <c r="QE18">
        <f t="shared" ca="1" si="17"/>
        <v>10.00423079492367</v>
      </c>
      <c r="QF18">
        <f t="shared" ca="1" si="17"/>
        <v>9.9974344311908894</v>
      </c>
      <c r="QG18">
        <f t="shared" ca="1" si="17"/>
        <v>10.004927233212644</v>
      </c>
      <c r="QH18">
        <f t="shared" ca="1" si="11"/>
        <v>9.9998023952699526</v>
      </c>
      <c r="QI18">
        <f t="shared" ca="1" si="12"/>
        <v>9.9947053640360402</v>
      </c>
      <c r="QJ18">
        <f t="shared" ca="1" si="12"/>
        <v>10.005110865147309</v>
      </c>
      <c r="QK18">
        <f t="shared" ca="1" si="12"/>
        <v>9.9981834334079007</v>
      </c>
      <c r="QL18">
        <f t="shared" ca="1" si="12"/>
        <v>9.9970541394266501</v>
      </c>
      <c r="QM18">
        <f t="shared" ca="1" si="12"/>
        <v>9.9957160768536983</v>
      </c>
      <c r="QN18">
        <f t="shared" ca="1" si="12"/>
        <v>9.9998083246941185</v>
      </c>
      <c r="QO18">
        <f t="shared" ca="1" si="12"/>
        <v>9.9977747806847344</v>
      </c>
      <c r="QP18">
        <f t="shared" ca="1" si="12"/>
        <v>9.9918363541860522</v>
      </c>
      <c r="QQ18">
        <f t="shared" ca="1" si="12"/>
        <v>9.9990680120430824</v>
      </c>
      <c r="QR18">
        <f t="shared" ca="1" si="12"/>
        <v>9.9990806708673894</v>
      </c>
      <c r="QS18">
        <f t="shared" ca="1" si="12"/>
        <v>10.001265332730112</v>
      </c>
      <c r="QT18">
        <f t="shared" ca="1" si="12"/>
        <v>10.000113287427126</v>
      </c>
      <c r="QU18">
        <f t="shared" ca="1" si="12"/>
        <v>10.000059749105517</v>
      </c>
      <c r="QV18">
        <f t="shared" ca="1" si="12"/>
        <v>9.999462877012574</v>
      </c>
      <c r="QW18">
        <f t="shared" ca="1" si="12"/>
        <v>9.9989843469147726</v>
      </c>
      <c r="QX18">
        <f t="shared" ca="1" si="12"/>
        <v>10.000620609253234</v>
      </c>
      <c r="QY18">
        <f t="shared" ca="1" si="12"/>
        <v>9.9990258997956474</v>
      </c>
      <c r="QZ18">
        <f t="shared" ca="1" si="12"/>
        <v>10.004444367550525</v>
      </c>
      <c r="RA18">
        <f t="shared" ca="1" si="12"/>
        <v>10.002878840135931</v>
      </c>
      <c r="RB18">
        <f t="shared" ca="1" si="12"/>
        <v>9.9981845091385253</v>
      </c>
      <c r="RC18">
        <f t="shared" ca="1" si="12"/>
        <v>10.002121081069582</v>
      </c>
      <c r="RD18">
        <f t="shared" ca="1" si="12"/>
        <v>10.001452398802497</v>
      </c>
      <c r="RE18">
        <f t="shared" ca="1" si="12"/>
        <v>9.9983375940982722</v>
      </c>
      <c r="RF18">
        <f t="shared" ca="1" si="12"/>
        <v>10.003443210071323</v>
      </c>
      <c r="RG18">
        <f t="shared" ca="1" si="12"/>
        <v>9.9970749420968001</v>
      </c>
      <c r="RH18">
        <f t="shared" ca="1" si="12"/>
        <v>10.001709721428714</v>
      </c>
      <c r="RI18">
        <f t="shared" ca="1" si="12"/>
        <v>9.9999819102126768</v>
      </c>
      <c r="RJ18">
        <f t="shared" ca="1" si="12"/>
        <v>10.001581216555177</v>
      </c>
      <c r="RK18">
        <f t="shared" ca="1" si="12"/>
        <v>9.9987873338116824</v>
      </c>
      <c r="RL18">
        <f t="shared" ca="1" si="12"/>
        <v>9.9994671473909875</v>
      </c>
      <c r="RM18">
        <f t="shared" ca="1" si="12"/>
        <v>10.004859036929357</v>
      </c>
      <c r="RN18">
        <f t="shared" ca="1" si="12"/>
        <v>10.00209209335897</v>
      </c>
      <c r="RO18">
        <f t="shared" ca="1" si="12"/>
        <v>10.003491418472656</v>
      </c>
      <c r="RP18">
        <f t="shared" ca="1" si="12"/>
        <v>9.9972847654754879</v>
      </c>
      <c r="RQ18">
        <f t="shared" ca="1" si="12"/>
        <v>10.001291269997481</v>
      </c>
      <c r="RR18">
        <f t="shared" ca="1" si="12"/>
        <v>10.002283051108963</v>
      </c>
      <c r="RS18">
        <f t="shared" ca="1" si="12"/>
        <v>10.002500361641944</v>
      </c>
      <c r="RT18">
        <f t="shared" ca="1" si="12"/>
        <v>9.9950156086736435</v>
      </c>
      <c r="RU18">
        <f t="shared" ca="1" si="12"/>
        <v>9.99949310607232</v>
      </c>
      <c r="RV18">
        <f t="shared" ca="1" si="12"/>
        <v>9.9957908414955714</v>
      </c>
      <c r="RW18">
        <f t="shared" ca="1" si="12"/>
        <v>9.9965543543561903</v>
      </c>
      <c r="RX18">
        <f t="shared" ca="1" si="12"/>
        <v>9.9963825252588343</v>
      </c>
      <c r="RY18">
        <f t="shared" ca="1" si="12"/>
        <v>9.9967785484642917</v>
      </c>
      <c r="RZ18">
        <f t="shared" ca="1" si="12"/>
        <v>10.000885243686355</v>
      </c>
      <c r="SA18">
        <f t="shared" ca="1" si="12"/>
        <v>10.001186760282552</v>
      </c>
      <c r="SB18">
        <f t="shared" ca="1" si="12"/>
        <v>9.9993226009163099</v>
      </c>
      <c r="SC18">
        <f t="shared" ca="1" si="12"/>
        <v>9.9985994490213379</v>
      </c>
      <c r="SD18">
        <f t="shared" ca="1" si="12"/>
        <v>10.001095142452222</v>
      </c>
      <c r="SE18">
        <f t="shared" ca="1" si="12"/>
        <v>9.9985162011716042</v>
      </c>
      <c r="SF18">
        <f t="shared" ca="1" si="12"/>
        <v>9.9994753749575498</v>
      </c>
      <c r="SG18">
        <f t="shared" ca="1" si="12"/>
        <v>9.9989831670089977</v>
      </c>
    </row>
    <row r="19" spans="1:501" x14ac:dyDescent="0.3">
      <c r="A19" s="1">
        <v>46001</v>
      </c>
      <c r="B19">
        <f t="shared" ca="1" si="13"/>
        <v>9.9524514869187222</v>
      </c>
      <c r="C19">
        <f t="shared" ca="1" si="14"/>
        <v>9.9495996780499087</v>
      </c>
      <c r="D19">
        <f t="shared" ca="1" si="14"/>
        <v>9.9488321534746156</v>
      </c>
      <c r="E19">
        <f t="shared" ca="1" si="14"/>
        <v>9.9518878307284755</v>
      </c>
      <c r="F19">
        <f t="shared" ca="1" si="14"/>
        <v>9.9474747642851629</v>
      </c>
      <c r="G19">
        <f t="shared" ca="1" si="14"/>
        <v>9.9520306561264</v>
      </c>
      <c r="H19">
        <f t="shared" ca="1" si="14"/>
        <v>9.9497022150500118</v>
      </c>
      <c r="I19">
        <f t="shared" ca="1" si="14"/>
        <v>9.9480210805174725</v>
      </c>
      <c r="J19">
        <f t="shared" ca="1" si="14"/>
        <v>9.9465824375628316</v>
      </c>
      <c r="K19">
        <f t="shared" ca="1" si="14"/>
        <v>9.9491241655399172</v>
      </c>
      <c r="L19">
        <f t="shared" ca="1" si="14"/>
        <v>9.9478187904714304</v>
      </c>
      <c r="M19">
        <f t="shared" ca="1" si="14"/>
        <v>9.9480033020325518</v>
      </c>
      <c r="N19">
        <f t="shared" ca="1" si="14"/>
        <v>9.9483136843130175</v>
      </c>
      <c r="O19">
        <f t="shared" ca="1" si="14"/>
        <v>9.9498884445002815</v>
      </c>
      <c r="P19">
        <f t="shared" ca="1" si="14"/>
        <v>9.9537287158350054</v>
      </c>
      <c r="Q19">
        <f t="shared" ca="1" si="14"/>
        <v>9.9474506435287395</v>
      </c>
      <c r="R19">
        <f t="shared" ca="1" si="14"/>
        <v>9.9488008458250974</v>
      </c>
      <c r="S19">
        <f t="shared" ca="1" si="14"/>
        <v>9.9507955114575513</v>
      </c>
      <c r="T19">
        <f t="shared" ca="1" si="14"/>
        <v>9.946282867831032</v>
      </c>
      <c r="U19">
        <f t="shared" ca="1" si="14"/>
        <v>9.9499599690200409</v>
      </c>
      <c r="V19">
        <f t="shared" ca="1" si="14"/>
        <v>9.9531458419282703</v>
      </c>
      <c r="W19">
        <f t="shared" ca="1" si="14"/>
        <v>9.9507964420120363</v>
      </c>
      <c r="X19">
        <f t="shared" ca="1" si="14"/>
        <v>9.951084439777496</v>
      </c>
      <c r="Y19">
        <f t="shared" ca="1" si="14"/>
        <v>9.9473295375221404</v>
      </c>
      <c r="Z19">
        <f t="shared" ca="1" si="14"/>
        <v>9.9514570353792351</v>
      </c>
      <c r="AA19">
        <f t="shared" ca="1" si="14"/>
        <v>9.9480844112770956</v>
      </c>
      <c r="AB19">
        <f t="shared" ca="1" si="14"/>
        <v>9.9472692324831851</v>
      </c>
      <c r="AC19">
        <f t="shared" ca="1" si="14"/>
        <v>9.9539120624075341</v>
      </c>
      <c r="AD19">
        <f t="shared" ca="1" si="14"/>
        <v>9.9491504826934101</v>
      </c>
      <c r="AE19">
        <f t="shared" ca="1" si="14"/>
        <v>9.9464719185438373</v>
      </c>
      <c r="AF19">
        <f t="shared" ca="1" si="14"/>
        <v>9.9506993814195379</v>
      </c>
      <c r="AG19">
        <f t="shared" ca="1" si="14"/>
        <v>9.947216464088422</v>
      </c>
      <c r="AH19">
        <f t="shared" ca="1" si="14"/>
        <v>9.9505496468461079</v>
      </c>
      <c r="AI19">
        <f t="shared" ca="1" si="14"/>
        <v>9.9514905272156788</v>
      </c>
      <c r="AJ19">
        <f t="shared" ca="1" si="14"/>
        <v>9.9530796998941877</v>
      </c>
      <c r="AK19">
        <f t="shared" ca="1" si="14"/>
        <v>9.9514958024936533</v>
      </c>
      <c r="AL19">
        <f t="shared" ca="1" si="14"/>
        <v>9.9465710950814348</v>
      </c>
      <c r="AM19">
        <f t="shared" ca="1" si="14"/>
        <v>9.9515366061654316</v>
      </c>
      <c r="AN19">
        <f t="shared" ca="1" si="14"/>
        <v>9.9486055885341997</v>
      </c>
      <c r="AO19">
        <f t="shared" ca="1" si="14"/>
        <v>9.9478689147186241</v>
      </c>
      <c r="AP19">
        <f t="shared" ca="1" si="14"/>
        <v>9.9504229407911868</v>
      </c>
      <c r="AQ19">
        <f t="shared" ca="1" si="14"/>
        <v>9.9552162373718325</v>
      </c>
      <c r="AR19">
        <f t="shared" ca="1" si="14"/>
        <v>9.9518705933821803</v>
      </c>
      <c r="AS19">
        <f t="shared" ca="1" si="14"/>
        <v>9.9519973629168845</v>
      </c>
      <c r="AT19">
        <f t="shared" ca="1" si="14"/>
        <v>9.9510579660820326</v>
      </c>
      <c r="AU19">
        <f t="shared" ca="1" si="14"/>
        <v>9.9501528457179731</v>
      </c>
      <c r="AV19">
        <f t="shared" ca="1" si="14"/>
        <v>9.9483452435425903</v>
      </c>
      <c r="AW19">
        <f t="shared" ca="1" si="14"/>
        <v>9.950215693669783</v>
      </c>
      <c r="AX19">
        <f t="shared" ca="1" si="14"/>
        <v>9.9521157273951335</v>
      </c>
      <c r="AY19">
        <f t="shared" ca="1" si="14"/>
        <v>9.9514499114432091</v>
      </c>
      <c r="AZ19">
        <f t="shared" ca="1" si="14"/>
        <v>9.9446668454281806</v>
      </c>
      <c r="BA19">
        <f t="shared" ca="1" si="14"/>
        <v>9.9518055468649056</v>
      </c>
      <c r="BB19">
        <f t="shared" ca="1" si="14"/>
        <v>9.9489676875949495</v>
      </c>
      <c r="BC19">
        <f t="shared" ca="1" si="14"/>
        <v>9.9491307231914945</v>
      </c>
      <c r="BD19">
        <f t="shared" ca="1" si="14"/>
        <v>9.9495081157603718</v>
      </c>
      <c r="BE19">
        <f t="shared" ca="1" si="14"/>
        <v>9.9498276930406018</v>
      </c>
      <c r="BF19">
        <f t="shared" ca="1" si="14"/>
        <v>9.9491507173487026</v>
      </c>
      <c r="BG19">
        <f t="shared" ca="1" si="14"/>
        <v>9.948509129573937</v>
      </c>
      <c r="BH19">
        <f t="shared" ca="1" si="14"/>
        <v>9.9512352963276882</v>
      </c>
      <c r="BI19">
        <f t="shared" ca="1" si="14"/>
        <v>9.9490888361390635</v>
      </c>
      <c r="BJ19">
        <f t="shared" ca="1" si="14"/>
        <v>9.9499817861646722</v>
      </c>
      <c r="BK19">
        <f t="shared" ca="1" si="14"/>
        <v>9.9491728727657964</v>
      </c>
      <c r="BL19">
        <f t="shared" ca="1" si="14"/>
        <v>9.9500442894266392</v>
      </c>
      <c r="BM19">
        <f t="shared" ca="1" si="14"/>
        <v>9.9487488858314119</v>
      </c>
      <c r="BN19">
        <f t="shared" ca="1" si="14"/>
        <v>9.952506925985503</v>
      </c>
      <c r="BO19">
        <f t="shared" ref="BO19:DZ23" ca="1" si="18">$B6*EXP(($I6-($H6^2)/2)*(1/52)+$H6*SQRT(1/52)*_xlfn.NORM.INV(RAND(),0,1))</f>
        <v>9.9484607271693637</v>
      </c>
      <c r="BP19">
        <f t="shared" ca="1" si="18"/>
        <v>9.9448131538636328</v>
      </c>
      <c r="BQ19">
        <f t="shared" ca="1" si="18"/>
        <v>9.9486932664759955</v>
      </c>
      <c r="BR19">
        <f t="shared" ca="1" si="18"/>
        <v>9.9485940479860275</v>
      </c>
      <c r="BS19">
        <f t="shared" ca="1" si="18"/>
        <v>9.9498017645563195</v>
      </c>
      <c r="BT19">
        <f t="shared" ca="1" si="18"/>
        <v>9.9458791024936826</v>
      </c>
      <c r="BU19">
        <f t="shared" ca="1" si="18"/>
        <v>9.9496434561853722</v>
      </c>
      <c r="BV19">
        <f t="shared" ca="1" si="18"/>
        <v>9.9531511089593021</v>
      </c>
      <c r="BW19">
        <f t="shared" ca="1" si="18"/>
        <v>9.9462309755264098</v>
      </c>
      <c r="BX19">
        <f t="shared" ca="1" si="18"/>
        <v>9.9479707332328164</v>
      </c>
      <c r="BY19">
        <f t="shared" ca="1" si="18"/>
        <v>9.9490663990199106</v>
      </c>
      <c r="BZ19">
        <f t="shared" ca="1" si="18"/>
        <v>9.9516541931680482</v>
      </c>
      <c r="CA19">
        <f t="shared" ca="1" si="18"/>
        <v>9.9480717968841219</v>
      </c>
      <c r="CB19">
        <f t="shared" ca="1" si="18"/>
        <v>9.9500151746403933</v>
      </c>
      <c r="CC19">
        <f t="shared" ca="1" si="18"/>
        <v>9.9483163972016122</v>
      </c>
      <c r="CD19">
        <f t="shared" ca="1" si="18"/>
        <v>9.9568220889285648</v>
      </c>
      <c r="CE19">
        <f t="shared" ca="1" si="18"/>
        <v>9.9472486600587526</v>
      </c>
      <c r="CF19">
        <f t="shared" ca="1" si="18"/>
        <v>9.9515816944548927</v>
      </c>
      <c r="CG19">
        <f t="shared" ca="1" si="18"/>
        <v>9.9527288104677218</v>
      </c>
      <c r="CH19">
        <f t="shared" ca="1" si="18"/>
        <v>9.9501703237980195</v>
      </c>
      <c r="CI19">
        <f t="shared" ca="1" si="18"/>
        <v>9.9520478084767312</v>
      </c>
      <c r="CJ19">
        <f t="shared" ca="1" si="18"/>
        <v>9.948899036459899</v>
      </c>
      <c r="CK19">
        <f t="shared" ca="1" si="18"/>
        <v>9.9499271431983889</v>
      </c>
      <c r="CL19">
        <f t="shared" ca="1" si="18"/>
        <v>9.9512131557208772</v>
      </c>
      <c r="CM19">
        <f t="shared" ca="1" si="18"/>
        <v>9.9455618519797451</v>
      </c>
      <c r="CN19">
        <f t="shared" ca="1" si="18"/>
        <v>9.9493205115247321</v>
      </c>
      <c r="CO19">
        <f t="shared" ca="1" si="18"/>
        <v>9.9545011090178654</v>
      </c>
      <c r="CP19">
        <f t="shared" ca="1" si="18"/>
        <v>9.944840518953848</v>
      </c>
      <c r="CQ19">
        <f t="shared" ca="1" si="18"/>
        <v>9.948797179326835</v>
      </c>
      <c r="CR19">
        <f t="shared" ca="1" si="18"/>
        <v>9.9444055752896112</v>
      </c>
      <c r="CS19">
        <f t="shared" ca="1" si="18"/>
        <v>9.9499052076171122</v>
      </c>
      <c r="CT19">
        <f t="shared" ca="1" si="18"/>
        <v>9.9463779619787367</v>
      </c>
      <c r="CU19">
        <f t="shared" ca="1" si="18"/>
        <v>9.9509365063280732</v>
      </c>
      <c r="CV19">
        <f t="shared" ca="1" si="18"/>
        <v>9.9475387778070914</v>
      </c>
      <c r="CW19">
        <f t="shared" ca="1" si="18"/>
        <v>9.9518179296718614</v>
      </c>
      <c r="CX19">
        <f t="shared" ca="1" si="18"/>
        <v>9.9464364956028692</v>
      </c>
      <c r="CY19">
        <f t="shared" ca="1" si="18"/>
        <v>9.9534060574967054</v>
      </c>
      <c r="CZ19">
        <f t="shared" ca="1" si="18"/>
        <v>9.9518858686451157</v>
      </c>
      <c r="DA19">
        <f t="shared" ca="1" si="18"/>
        <v>9.9517367201205946</v>
      </c>
      <c r="DB19">
        <f t="shared" ca="1" si="18"/>
        <v>9.9500287314299367</v>
      </c>
      <c r="DC19">
        <f t="shared" ca="1" si="18"/>
        <v>9.9520964286796261</v>
      </c>
      <c r="DD19">
        <f t="shared" ca="1" si="18"/>
        <v>9.9510263662718241</v>
      </c>
      <c r="DE19">
        <f t="shared" ca="1" si="18"/>
        <v>9.9489232668700662</v>
      </c>
      <c r="DF19">
        <f t="shared" ca="1" si="18"/>
        <v>9.9511791747634621</v>
      </c>
      <c r="DG19">
        <f t="shared" ca="1" si="18"/>
        <v>9.9565571123427308</v>
      </c>
      <c r="DH19">
        <f t="shared" ca="1" si="18"/>
        <v>9.9522288141793585</v>
      </c>
      <c r="DI19">
        <f t="shared" ca="1" si="18"/>
        <v>9.9466206753641924</v>
      </c>
      <c r="DJ19">
        <f t="shared" ca="1" si="18"/>
        <v>9.9509791433216321</v>
      </c>
      <c r="DK19">
        <f t="shared" ca="1" si="18"/>
        <v>9.9459364000555475</v>
      </c>
      <c r="DL19">
        <f t="shared" ca="1" si="18"/>
        <v>9.9574460669969902</v>
      </c>
      <c r="DM19">
        <f t="shared" ca="1" si="18"/>
        <v>9.9536771242013078</v>
      </c>
      <c r="DN19">
        <f t="shared" ca="1" si="18"/>
        <v>9.9515960449660632</v>
      </c>
      <c r="DO19">
        <f t="shared" ca="1" si="18"/>
        <v>9.9526076290574181</v>
      </c>
      <c r="DP19">
        <f t="shared" ca="1" si="18"/>
        <v>9.9448404742166421</v>
      </c>
      <c r="DQ19">
        <f t="shared" ca="1" si="18"/>
        <v>9.9484961319310283</v>
      </c>
      <c r="DR19">
        <f t="shared" ca="1" si="18"/>
        <v>9.9502488426670528</v>
      </c>
      <c r="DS19">
        <f t="shared" ca="1" si="18"/>
        <v>9.9498309790941999</v>
      </c>
      <c r="DT19">
        <f t="shared" ca="1" si="18"/>
        <v>9.951551861413316</v>
      </c>
      <c r="DU19">
        <f t="shared" ca="1" si="18"/>
        <v>9.9518740862189166</v>
      </c>
      <c r="DV19">
        <f t="shared" ca="1" si="18"/>
        <v>9.9471237268412676</v>
      </c>
      <c r="DW19">
        <f t="shared" ca="1" si="18"/>
        <v>9.9529626901408417</v>
      </c>
      <c r="DX19">
        <f t="shared" ca="1" si="18"/>
        <v>9.9482054132065461</v>
      </c>
      <c r="DY19">
        <f t="shared" ca="1" si="18"/>
        <v>9.9484734567479247</v>
      </c>
      <c r="DZ19">
        <f t="shared" ca="1" si="18"/>
        <v>9.9528151037054862</v>
      </c>
      <c r="EA19">
        <f t="shared" ca="1" si="15"/>
        <v>9.9522802877388337</v>
      </c>
      <c r="EB19">
        <f t="shared" ca="1" si="15"/>
        <v>9.9538135753142676</v>
      </c>
      <c r="EC19">
        <f t="shared" ca="1" si="15"/>
        <v>9.9503367040932211</v>
      </c>
      <c r="ED19">
        <f t="shared" ca="1" si="15"/>
        <v>9.9548144929655713</v>
      </c>
      <c r="EE19">
        <f t="shared" ca="1" si="15"/>
        <v>9.9483036356397321</v>
      </c>
      <c r="EF19">
        <f t="shared" ca="1" si="15"/>
        <v>9.9530957954913859</v>
      </c>
      <c r="EG19">
        <f t="shared" ca="1" si="15"/>
        <v>9.9502752789819553</v>
      </c>
      <c r="EH19">
        <f t="shared" ca="1" si="15"/>
        <v>9.9512548044122919</v>
      </c>
      <c r="EI19">
        <f t="shared" ca="1" si="15"/>
        <v>9.9466449730974134</v>
      </c>
      <c r="EJ19">
        <f t="shared" ca="1" si="15"/>
        <v>9.9522324440347862</v>
      </c>
      <c r="EK19">
        <f t="shared" ca="1" si="15"/>
        <v>9.9484392264814971</v>
      </c>
      <c r="EL19">
        <f t="shared" ca="1" si="15"/>
        <v>9.9497883888946816</v>
      </c>
      <c r="EM19">
        <f t="shared" ca="1" si="15"/>
        <v>9.9473179240772183</v>
      </c>
      <c r="EN19">
        <f t="shared" ca="1" si="15"/>
        <v>9.9466949332917522</v>
      </c>
      <c r="EO19">
        <f t="shared" ca="1" si="15"/>
        <v>9.9453790513484464</v>
      </c>
      <c r="EP19">
        <f t="shared" ca="1" si="15"/>
        <v>9.9462091774546249</v>
      </c>
      <c r="EQ19">
        <f t="shared" ca="1" si="15"/>
        <v>9.9503595100684059</v>
      </c>
      <c r="ER19">
        <f t="shared" ca="1" si="15"/>
        <v>9.9473177949963354</v>
      </c>
      <c r="ES19">
        <f t="shared" ca="1" si="15"/>
        <v>9.9541132394000584</v>
      </c>
      <c r="ET19">
        <f t="shared" ca="1" si="15"/>
        <v>9.9497483888307592</v>
      </c>
      <c r="EU19">
        <f t="shared" ca="1" si="15"/>
        <v>9.9493454577231244</v>
      </c>
      <c r="EV19">
        <f t="shared" ca="1" si="15"/>
        <v>9.95159879531111</v>
      </c>
      <c r="EW19">
        <f t="shared" ca="1" si="15"/>
        <v>9.9491007532986639</v>
      </c>
      <c r="EX19">
        <f t="shared" ca="1" si="15"/>
        <v>9.954829698143957</v>
      </c>
      <c r="EY19">
        <f t="shared" ca="1" si="15"/>
        <v>9.9495095071527473</v>
      </c>
      <c r="EZ19">
        <f t="shared" ca="1" si="15"/>
        <v>9.9513742769103573</v>
      </c>
      <c r="FA19">
        <f t="shared" ca="1" si="15"/>
        <v>9.9506174819726141</v>
      </c>
      <c r="FB19">
        <f t="shared" ca="1" si="15"/>
        <v>9.9463028109460598</v>
      </c>
      <c r="FC19">
        <f t="shared" ca="1" si="15"/>
        <v>9.9480883232934563</v>
      </c>
      <c r="FD19">
        <f t="shared" ca="1" si="15"/>
        <v>9.9484677641348842</v>
      </c>
      <c r="FE19">
        <f t="shared" ca="1" si="15"/>
        <v>9.9519054573008585</v>
      </c>
      <c r="FF19">
        <f t="shared" ca="1" si="15"/>
        <v>9.9497900126195979</v>
      </c>
      <c r="FG19">
        <f t="shared" ca="1" si="15"/>
        <v>9.9478029871347875</v>
      </c>
      <c r="FH19">
        <f t="shared" ca="1" si="15"/>
        <v>9.9474292614052828</v>
      </c>
      <c r="FI19">
        <f t="shared" ca="1" si="15"/>
        <v>9.9518742457187948</v>
      </c>
      <c r="FJ19">
        <f t="shared" ca="1" si="15"/>
        <v>9.9468778967738647</v>
      </c>
      <c r="FK19">
        <f t="shared" ca="1" si="15"/>
        <v>9.9464000861824022</v>
      </c>
      <c r="FL19">
        <f t="shared" ca="1" si="15"/>
        <v>9.950257580372508</v>
      </c>
      <c r="FM19">
        <f t="shared" ca="1" si="15"/>
        <v>9.9542714720141348</v>
      </c>
      <c r="FN19">
        <f t="shared" ca="1" si="15"/>
        <v>9.9541758157260052</v>
      </c>
      <c r="FO19">
        <f t="shared" ca="1" si="15"/>
        <v>9.950436657359198</v>
      </c>
      <c r="FP19">
        <f t="shared" ca="1" si="15"/>
        <v>9.9455012739837692</v>
      </c>
      <c r="FQ19">
        <f t="shared" ca="1" si="15"/>
        <v>9.9490254177246022</v>
      </c>
      <c r="FR19">
        <f t="shared" ca="1" si="15"/>
        <v>9.9476192743991838</v>
      </c>
      <c r="FS19">
        <f t="shared" ca="1" si="15"/>
        <v>9.9485349741412055</v>
      </c>
      <c r="FT19">
        <f t="shared" ca="1" si="15"/>
        <v>9.9506001764506244</v>
      </c>
      <c r="FU19">
        <f t="shared" ca="1" si="15"/>
        <v>9.9513075421721044</v>
      </c>
      <c r="FV19">
        <f t="shared" ca="1" si="15"/>
        <v>9.9487559160313328</v>
      </c>
      <c r="FW19">
        <f t="shared" ca="1" si="15"/>
        <v>9.9509004480116356</v>
      </c>
      <c r="FX19">
        <f t="shared" ca="1" si="15"/>
        <v>9.9504647894160705</v>
      </c>
      <c r="FY19">
        <f t="shared" ca="1" si="15"/>
        <v>9.9545065348093118</v>
      </c>
      <c r="FZ19">
        <f t="shared" ca="1" si="15"/>
        <v>9.9516768000020619</v>
      </c>
      <c r="GA19">
        <f t="shared" ca="1" si="15"/>
        <v>9.9515361181607851</v>
      </c>
      <c r="GB19">
        <f t="shared" ca="1" si="15"/>
        <v>9.9526272049397964</v>
      </c>
      <c r="GC19">
        <f t="shared" ca="1" si="15"/>
        <v>9.9435467173982097</v>
      </c>
      <c r="GD19">
        <f t="shared" ca="1" si="15"/>
        <v>9.94884539446379</v>
      </c>
      <c r="GE19">
        <f t="shared" ca="1" si="15"/>
        <v>9.9513970373549014</v>
      </c>
      <c r="GF19">
        <f t="shared" ca="1" si="15"/>
        <v>9.9480432965862864</v>
      </c>
      <c r="GG19">
        <f t="shared" ca="1" si="15"/>
        <v>9.949836966415587</v>
      </c>
      <c r="GH19">
        <f t="shared" ca="1" si="15"/>
        <v>9.9520477786616333</v>
      </c>
      <c r="GI19">
        <f t="shared" ca="1" si="15"/>
        <v>9.9476699371225319</v>
      </c>
      <c r="GJ19">
        <f t="shared" ca="1" si="15"/>
        <v>9.9515998329530344</v>
      </c>
      <c r="GK19">
        <f t="shared" ca="1" si="15"/>
        <v>9.9514785554548197</v>
      </c>
      <c r="GL19">
        <f t="shared" ca="1" si="7"/>
        <v>9.9538820288596614</v>
      </c>
      <c r="GM19">
        <f t="shared" ref="GM19:IX23" ca="1" si="19">$B6*EXP(($I6-($H6^2)/2)*(1/52)+$H6*SQRT(1/52)*_xlfn.NORM.INV(RAND(),0,1))</f>
        <v>9.9458137302462326</v>
      </c>
      <c r="GN19">
        <f t="shared" ca="1" si="19"/>
        <v>9.9470874155656119</v>
      </c>
      <c r="GO19">
        <f t="shared" ca="1" si="19"/>
        <v>9.9483158229226785</v>
      </c>
      <c r="GP19">
        <f t="shared" ca="1" si="19"/>
        <v>9.9509023990043222</v>
      </c>
      <c r="GQ19">
        <f t="shared" ca="1" si="19"/>
        <v>9.9455326219405897</v>
      </c>
      <c r="GR19">
        <f t="shared" ca="1" si="19"/>
        <v>9.9500581363329488</v>
      </c>
      <c r="GS19">
        <f t="shared" ca="1" si="19"/>
        <v>9.9429158865351699</v>
      </c>
      <c r="GT19">
        <f t="shared" ca="1" si="19"/>
        <v>9.9504486033900754</v>
      </c>
      <c r="GU19">
        <f t="shared" ca="1" si="19"/>
        <v>9.9453832442013237</v>
      </c>
      <c r="GV19">
        <f t="shared" ca="1" si="19"/>
        <v>9.9479934837423087</v>
      </c>
      <c r="GW19">
        <f t="shared" ca="1" si="19"/>
        <v>9.9494690358354809</v>
      </c>
      <c r="GX19">
        <f t="shared" ca="1" si="19"/>
        <v>9.946498879533797</v>
      </c>
      <c r="GY19">
        <f t="shared" ca="1" si="19"/>
        <v>9.9519011635838748</v>
      </c>
      <c r="GZ19">
        <f t="shared" ca="1" si="19"/>
        <v>9.948860364921936</v>
      </c>
      <c r="HA19">
        <f t="shared" ca="1" si="19"/>
        <v>9.9453740649896325</v>
      </c>
      <c r="HB19">
        <f t="shared" ca="1" si="19"/>
        <v>9.9507287100306634</v>
      </c>
      <c r="HC19">
        <f t="shared" ca="1" si="19"/>
        <v>9.946497701429843</v>
      </c>
      <c r="HD19">
        <f t="shared" ca="1" si="19"/>
        <v>9.9511320376849124</v>
      </c>
      <c r="HE19">
        <f t="shared" ca="1" si="19"/>
        <v>9.951974176567834</v>
      </c>
      <c r="HF19">
        <f t="shared" ca="1" si="19"/>
        <v>9.9526084498971805</v>
      </c>
      <c r="HG19">
        <f t="shared" ca="1" si="19"/>
        <v>9.9487560794961922</v>
      </c>
      <c r="HH19">
        <f t="shared" ca="1" si="19"/>
        <v>9.9511196039149201</v>
      </c>
      <c r="HI19">
        <f t="shared" ca="1" si="19"/>
        <v>9.9463436426121241</v>
      </c>
      <c r="HJ19">
        <f t="shared" ca="1" si="19"/>
        <v>9.9464683075581046</v>
      </c>
      <c r="HK19">
        <f t="shared" ca="1" si="19"/>
        <v>9.9461887790804777</v>
      </c>
      <c r="HL19">
        <f t="shared" ca="1" si="19"/>
        <v>9.9446860975809575</v>
      </c>
      <c r="HM19">
        <f t="shared" ca="1" si="19"/>
        <v>9.9498306465598834</v>
      </c>
      <c r="HN19">
        <f t="shared" ca="1" si="19"/>
        <v>9.951670428172525</v>
      </c>
      <c r="HO19">
        <f t="shared" ca="1" si="19"/>
        <v>9.9464817376465788</v>
      </c>
      <c r="HP19">
        <f t="shared" ca="1" si="19"/>
        <v>9.9503291963417748</v>
      </c>
      <c r="HQ19">
        <f t="shared" ca="1" si="19"/>
        <v>9.9503796946381566</v>
      </c>
      <c r="HR19">
        <f t="shared" ca="1" si="19"/>
        <v>9.9472605105624439</v>
      </c>
      <c r="HS19">
        <f t="shared" ca="1" si="19"/>
        <v>9.9478157178267814</v>
      </c>
      <c r="HT19">
        <f t="shared" ca="1" si="19"/>
        <v>9.9505292892248001</v>
      </c>
      <c r="HU19">
        <f t="shared" ca="1" si="19"/>
        <v>9.9494367068126781</v>
      </c>
      <c r="HV19">
        <f t="shared" ca="1" si="19"/>
        <v>9.9516753885529692</v>
      </c>
      <c r="HW19">
        <f t="shared" ca="1" si="19"/>
        <v>9.9519952161779877</v>
      </c>
      <c r="HX19">
        <f t="shared" ca="1" si="19"/>
        <v>9.9490309542537734</v>
      </c>
      <c r="HY19">
        <f t="shared" ca="1" si="19"/>
        <v>9.9522446205547652</v>
      </c>
      <c r="HZ19">
        <f t="shared" ca="1" si="19"/>
        <v>9.946249986143604</v>
      </c>
      <c r="IA19">
        <f t="shared" ca="1" si="19"/>
        <v>9.9498153955141788</v>
      </c>
      <c r="IB19">
        <f t="shared" ca="1" si="19"/>
        <v>9.9469292325150285</v>
      </c>
      <c r="IC19">
        <f t="shared" ca="1" si="19"/>
        <v>9.9460666820211809</v>
      </c>
      <c r="ID19">
        <f t="shared" ca="1" si="19"/>
        <v>9.9458104111252332</v>
      </c>
      <c r="IE19">
        <f t="shared" ca="1" si="19"/>
        <v>9.9493009993267307</v>
      </c>
      <c r="IF19">
        <f t="shared" ca="1" si="19"/>
        <v>9.9541419542465768</v>
      </c>
      <c r="IG19">
        <f t="shared" ca="1" si="19"/>
        <v>9.9484490115595996</v>
      </c>
      <c r="IH19">
        <f t="shared" ca="1" si="19"/>
        <v>9.9473381086580179</v>
      </c>
      <c r="II19">
        <f t="shared" ca="1" si="19"/>
        <v>9.9474922791687064</v>
      </c>
      <c r="IJ19">
        <f t="shared" ca="1" si="19"/>
        <v>9.9487955292293648</v>
      </c>
      <c r="IK19">
        <f t="shared" ca="1" si="19"/>
        <v>9.9472283240266837</v>
      </c>
      <c r="IL19">
        <f t="shared" ca="1" si="19"/>
        <v>9.9484140125147196</v>
      </c>
      <c r="IM19">
        <f t="shared" ca="1" si="19"/>
        <v>9.9484309658209646</v>
      </c>
      <c r="IN19">
        <f t="shared" ca="1" si="19"/>
        <v>9.9486754666307693</v>
      </c>
      <c r="IO19">
        <f t="shared" ca="1" si="19"/>
        <v>9.9492635160942413</v>
      </c>
      <c r="IP19">
        <f t="shared" ca="1" si="19"/>
        <v>9.9481998804500957</v>
      </c>
      <c r="IQ19">
        <f t="shared" ca="1" si="19"/>
        <v>9.9477567867189958</v>
      </c>
      <c r="IR19">
        <f t="shared" ca="1" si="19"/>
        <v>9.9481729434506292</v>
      </c>
      <c r="IS19">
        <f t="shared" ca="1" si="19"/>
        <v>9.9481893854337393</v>
      </c>
      <c r="IT19">
        <f t="shared" ca="1" si="19"/>
        <v>9.9486978754944992</v>
      </c>
      <c r="IU19">
        <f t="shared" ca="1" si="19"/>
        <v>9.9536711428123379</v>
      </c>
      <c r="IV19">
        <f t="shared" ca="1" si="19"/>
        <v>9.9490209585513316</v>
      </c>
      <c r="IW19">
        <f t="shared" ca="1" si="19"/>
        <v>9.9523301103496671</v>
      </c>
      <c r="IX19">
        <f t="shared" ca="1" si="19"/>
        <v>9.9443706124234073</v>
      </c>
      <c r="IY19">
        <f t="shared" ca="1" si="16"/>
        <v>9.9502496207523539</v>
      </c>
      <c r="IZ19">
        <f t="shared" ca="1" si="16"/>
        <v>9.9506083659410862</v>
      </c>
      <c r="JA19">
        <f t="shared" ca="1" si="16"/>
        <v>9.9488473869486125</v>
      </c>
      <c r="JB19">
        <f t="shared" ca="1" si="16"/>
        <v>9.9482768921116058</v>
      </c>
      <c r="JC19">
        <f t="shared" ca="1" si="16"/>
        <v>9.9524075750892678</v>
      </c>
      <c r="JD19">
        <f t="shared" ca="1" si="16"/>
        <v>9.9523682341684339</v>
      </c>
      <c r="JE19">
        <f t="shared" ca="1" si="16"/>
        <v>9.9483672224659649</v>
      </c>
      <c r="JF19">
        <f t="shared" ca="1" si="16"/>
        <v>9.9546827305379235</v>
      </c>
      <c r="JG19">
        <f t="shared" ca="1" si="16"/>
        <v>9.9489605737026245</v>
      </c>
      <c r="JH19">
        <f t="shared" ca="1" si="16"/>
        <v>9.9509853685822627</v>
      </c>
      <c r="JI19">
        <f t="shared" ca="1" si="16"/>
        <v>9.9461595829774829</v>
      </c>
      <c r="JJ19">
        <f t="shared" ca="1" si="16"/>
        <v>9.945074961519861</v>
      </c>
      <c r="JK19">
        <f t="shared" ca="1" si="16"/>
        <v>9.9550522860786437</v>
      </c>
      <c r="JL19">
        <f t="shared" ca="1" si="16"/>
        <v>9.9540321056739103</v>
      </c>
      <c r="JM19">
        <f t="shared" ca="1" si="16"/>
        <v>9.948405897978315</v>
      </c>
      <c r="JN19">
        <f t="shared" ca="1" si="16"/>
        <v>9.9498755076256149</v>
      </c>
      <c r="JO19">
        <f t="shared" ca="1" si="16"/>
        <v>9.9520337262816305</v>
      </c>
      <c r="JP19">
        <f t="shared" ca="1" si="16"/>
        <v>9.9507718246076049</v>
      </c>
      <c r="JQ19">
        <f t="shared" ca="1" si="16"/>
        <v>9.950367523329998</v>
      </c>
      <c r="JR19">
        <f t="shared" ca="1" si="16"/>
        <v>9.9529352765272279</v>
      </c>
      <c r="JS19">
        <f t="shared" ca="1" si="16"/>
        <v>9.9448395319101195</v>
      </c>
      <c r="JT19">
        <f t="shared" ca="1" si="16"/>
        <v>9.9513431664823244</v>
      </c>
      <c r="JU19">
        <f t="shared" ca="1" si="16"/>
        <v>9.9491401049018613</v>
      </c>
      <c r="JV19">
        <f t="shared" ca="1" si="16"/>
        <v>9.9523723374370903</v>
      </c>
      <c r="JW19">
        <f t="shared" ca="1" si="16"/>
        <v>9.9494315188143947</v>
      </c>
      <c r="JX19">
        <f t="shared" ca="1" si="16"/>
        <v>9.9499622322943946</v>
      </c>
      <c r="JY19">
        <f t="shared" ca="1" si="16"/>
        <v>9.9511021053792668</v>
      </c>
      <c r="JZ19">
        <f t="shared" ca="1" si="16"/>
        <v>9.9575747804453822</v>
      </c>
      <c r="KA19">
        <f t="shared" ca="1" si="16"/>
        <v>9.9531290008445854</v>
      </c>
      <c r="KB19">
        <f t="shared" ca="1" si="16"/>
        <v>9.9453624406657539</v>
      </c>
      <c r="KC19">
        <f t="shared" ca="1" si="16"/>
        <v>9.9516485047451209</v>
      </c>
      <c r="KD19">
        <f t="shared" ca="1" si="16"/>
        <v>9.950999748496649</v>
      </c>
      <c r="KE19">
        <f t="shared" ca="1" si="16"/>
        <v>9.9528738975111928</v>
      </c>
      <c r="KF19">
        <f t="shared" ca="1" si="16"/>
        <v>9.9461519877093831</v>
      </c>
      <c r="KG19">
        <f t="shared" ca="1" si="16"/>
        <v>9.9500204943328914</v>
      </c>
      <c r="KH19">
        <f t="shared" ca="1" si="16"/>
        <v>9.9509647312361178</v>
      </c>
      <c r="KI19">
        <f t="shared" ca="1" si="16"/>
        <v>9.9533925009062845</v>
      </c>
      <c r="KJ19">
        <f t="shared" ca="1" si="16"/>
        <v>9.9471567448649125</v>
      </c>
      <c r="KK19">
        <f t="shared" ca="1" si="16"/>
        <v>9.9449248786764848</v>
      </c>
      <c r="KL19">
        <f t="shared" ca="1" si="16"/>
        <v>9.948193093272435</v>
      </c>
      <c r="KM19">
        <f t="shared" ca="1" si="16"/>
        <v>9.9479841625945813</v>
      </c>
      <c r="KN19">
        <f t="shared" ca="1" si="16"/>
        <v>9.9491398987158366</v>
      </c>
      <c r="KO19">
        <f t="shared" ca="1" si="16"/>
        <v>9.9508089159907431</v>
      </c>
      <c r="KP19">
        <f t="shared" ca="1" si="16"/>
        <v>9.9512801057378937</v>
      </c>
      <c r="KQ19">
        <f t="shared" ca="1" si="16"/>
        <v>9.9476902126689737</v>
      </c>
      <c r="KR19">
        <f t="shared" ca="1" si="16"/>
        <v>9.9518979505730432</v>
      </c>
      <c r="KS19">
        <f t="shared" ca="1" si="16"/>
        <v>9.9496593748805608</v>
      </c>
      <c r="KT19">
        <f t="shared" ca="1" si="16"/>
        <v>9.9494626059384181</v>
      </c>
      <c r="KU19">
        <f t="shared" ca="1" si="16"/>
        <v>9.9500499252638335</v>
      </c>
      <c r="KV19">
        <f t="shared" ca="1" si="16"/>
        <v>9.9463517200934888</v>
      </c>
      <c r="KW19">
        <f t="shared" ca="1" si="16"/>
        <v>9.9526813139576138</v>
      </c>
      <c r="KX19">
        <f t="shared" ca="1" si="16"/>
        <v>9.9489968847633232</v>
      </c>
      <c r="KY19">
        <f t="shared" ca="1" si="16"/>
        <v>9.9484156172796485</v>
      </c>
      <c r="KZ19">
        <f t="shared" ca="1" si="16"/>
        <v>9.9485602442218894</v>
      </c>
      <c r="LA19">
        <f t="shared" ca="1" si="16"/>
        <v>9.9499057561418454</v>
      </c>
      <c r="LB19">
        <f t="shared" ca="1" si="16"/>
        <v>9.9507230660194672</v>
      </c>
      <c r="LC19">
        <f t="shared" ca="1" si="16"/>
        <v>9.9511184424993786</v>
      </c>
      <c r="LD19">
        <f t="shared" ca="1" si="16"/>
        <v>9.9516374412476392</v>
      </c>
      <c r="LE19">
        <f t="shared" ca="1" si="16"/>
        <v>9.9518010900695906</v>
      </c>
      <c r="LF19">
        <f t="shared" ca="1" si="16"/>
        <v>9.9472128195593452</v>
      </c>
      <c r="LG19">
        <f t="shared" ca="1" si="16"/>
        <v>9.9508506369692196</v>
      </c>
      <c r="LH19">
        <f t="shared" ca="1" si="16"/>
        <v>9.9516735722024183</v>
      </c>
      <c r="LI19">
        <f t="shared" ca="1" si="16"/>
        <v>9.9503236816163163</v>
      </c>
      <c r="LJ19">
        <f t="shared" ca="1" si="9"/>
        <v>9.9531698058342908</v>
      </c>
      <c r="LK19">
        <f t="shared" ref="LK19:NV23" ca="1" si="20">$B6*EXP(($I6-($H6^2)/2)*(1/52)+$H6*SQRT(1/52)*_xlfn.NORM.INV(RAND(),0,1))</f>
        <v>9.9467100629526062</v>
      </c>
      <c r="LL19">
        <f t="shared" ca="1" si="20"/>
        <v>9.9477526210220919</v>
      </c>
      <c r="LM19">
        <f t="shared" ca="1" si="20"/>
        <v>9.9481253116299531</v>
      </c>
      <c r="LN19">
        <f t="shared" ca="1" si="20"/>
        <v>9.9540608626320033</v>
      </c>
      <c r="LO19">
        <f t="shared" ca="1" si="20"/>
        <v>9.9502107358555083</v>
      </c>
      <c r="LP19">
        <f t="shared" ca="1" si="20"/>
        <v>9.9557148244080444</v>
      </c>
      <c r="LQ19">
        <f t="shared" ca="1" si="20"/>
        <v>9.9504148894924604</v>
      </c>
      <c r="LR19">
        <f t="shared" ca="1" si="20"/>
        <v>9.9512418268684577</v>
      </c>
      <c r="LS19">
        <f t="shared" ca="1" si="20"/>
        <v>9.9488458755223412</v>
      </c>
      <c r="LT19">
        <f t="shared" ca="1" si="20"/>
        <v>9.9488350640983487</v>
      </c>
      <c r="LU19">
        <f t="shared" ca="1" si="20"/>
        <v>9.9483070264242226</v>
      </c>
      <c r="LV19">
        <f t="shared" ca="1" si="20"/>
        <v>9.9527181917833882</v>
      </c>
      <c r="LW19">
        <f t="shared" ca="1" si="20"/>
        <v>9.9477571417081521</v>
      </c>
      <c r="LX19">
        <f t="shared" ca="1" si="20"/>
        <v>9.9492213076723175</v>
      </c>
      <c r="LY19">
        <f t="shared" ca="1" si="20"/>
        <v>9.9462866841524296</v>
      </c>
      <c r="LZ19">
        <f t="shared" ca="1" si="20"/>
        <v>9.9465480013482264</v>
      </c>
      <c r="MA19">
        <f t="shared" ca="1" si="20"/>
        <v>9.9521946446516463</v>
      </c>
      <c r="MB19">
        <f t="shared" ca="1" si="20"/>
        <v>9.9442729983792653</v>
      </c>
      <c r="MC19">
        <f t="shared" ca="1" si="20"/>
        <v>9.9527187741315046</v>
      </c>
      <c r="MD19">
        <f t="shared" ca="1" si="20"/>
        <v>9.9533936172699562</v>
      </c>
      <c r="ME19">
        <f t="shared" ca="1" si="20"/>
        <v>9.9541482275357467</v>
      </c>
      <c r="MF19">
        <f t="shared" ca="1" si="20"/>
        <v>9.9511480322779722</v>
      </c>
      <c r="MG19">
        <f t="shared" ca="1" si="20"/>
        <v>9.9491198039541349</v>
      </c>
      <c r="MH19">
        <f t="shared" ca="1" si="20"/>
        <v>9.945631848859799</v>
      </c>
      <c r="MI19">
        <f t="shared" ca="1" si="20"/>
        <v>9.9530400633288316</v>
      </c>
      <c r="MJ19">
        <f t="shared" ca="1" si="20"/>
        <v>9.9487851356589552</v>
      </c>
      <c r="MK19">
        <f t="shared" ca="1" si="20"/>
        <v>9.9500651091866938</v>
      </c>
      <c r="ML19">
        <f t="shared" ca="1" si="20"/>
        <v>9.9499183448493547</v>
      </c>
      <c r="MM19">
        <f t="shared" ca="1" si="20"/>
        <v>9.9550263156926899</v>
      </c>
      <c r="MN19">
        <f t="shared" ca="1" si="20"/>
        <v>9.949294731953378</v>
      </c>
      <c r="MO19">
        <f t="shared" ca="1" si="20"/>
        <v>9.9500861160300413</v>
      </c>
      <c r="MP19">
        <f t="shared" ca="1" si="20"/>
        <v>9.9469393815685709</v>
      </c>
      <c r="MQ19">
        <f t="shared" ca="1" si="20"/>
        <v>9.948137632793344</v>
      </c>
      <c r="MR19">
        <f t="shared" ca="1" si="20"/>
        <v>9.9533738202542867</v>
      </c>
      <c r="MS19">
        <f t="shared" ca="1" si="20"/>
        <v>9.9502967051565854</v>
      </c>
      <c r="MT19">
        <f t="shared" ca="1" si="20"/>
        <v>9.950138095743057</v>
      </c>
      <c r="MU19">
        <f t="shared" ca="1" si="20"/>
        <v>9.9523440477204641</v>
      </c>
      <c r="MV19">
        <f t="shared" ca="1" si="20"/>
        <v>9.944731253554675</v>
      </c>
      <c r="MW19">
        <f t="shared" ca="1" si="20"/>
        <v>9.9516070913703327</v>
      </c>
      <c r="MX19">
        <f t="shared" ca="1" si="20"/>
        <v>9.9528869424399176</v>
      </c>
      <c r="MY19">
        <f t="shared" ca="1" si="20"/>
        <v>9.9510656036132659</v>
      </c>
      <c r="MZ19">
        <f t="shared" ca="1" si="20"/>
        <v>9.9532525664598595</v>
      </c>
      <c r="NA19">
        <f t="shared" ca="1" si="20"/>
        <v>9.9472281916804217</v>
      </c>
      <c r="NB19">
        <f t="shared" ca="1" si="20"/>
        <v>9.9550480286648018</v>
      </c>
      <c r="NC19">
        <f t="shared" ca="1" si="20"/>
        <v>9.9480792595360654</v>
      </c>
      <c r="ND19">
        <f t="shared" ca="1" si="20"/>
        <v>9.9480234013443862</v>
      </c>
      <c r="NE19">
        <f t="shared" ca="1" si="20"/>
        <v>9.9485903227293644</v>
      </c>
      <c r="NF19">
        <f t="shared" ca="1" si="20"/>
        <v>9.9524023523401777</v>
      </c>
      <c r="NG19">
        <f t="shared" ca="1" si="20"/>
        <v>9.9535842895690525</v>
      </c>
      <c r="NH19">
        <f t="shared" ca="1" si="20"/>
        <v>9.9485758503870461</v>
      </c>
      <c r="NI19">
        <f t="shared" ca="1" si="20"/>
        <v>9.9486818566967372</v>
      </c>
      <c r="NJ19">
        <f t="shared" ca="1" si="20"/>
        <v>9.9505665068627049</v>
      </c>
      <c r="NK19">
        <f t="shared" ca="1" si="20"/>
        <v>9.949401438880475</v>
      </c>
      <c r="NL19">
        <f t="shared" ca="1" si="20"/>
        <v>9.949428599020564</v>
      </c>
      <c r="NM19">
        <f t="shared" ca="1" si="20"/>
        <v>9.9463044801130476</v>
      </c>
      <c r="NN19">
        <f t="shared" ca="1" si="20"/>
        <v>9.9520613650900192</v>
      </c>
      <c r="NO19">
        <f t="shared" ca="1" si="20"/>
        <v>9.951670291669771</v>
      </c>
      <c r="NP19">
        <f t="shared" ca="1" si="20"/>
        <v>9.9533555699795979</v>
      </c>
      <c r="NQ19">
        <f t="shared" ca="1" si="20"/>
        <v>9.9465855295304184</v>
      </c>
      <c r="NR19">
        <f t="shared" ca="1" si="20"/>
        <v>9.945492067753344</v>
      </c>
      <c r="NS19">
        <f t="shared" ca="1" si="20"/>
        <v>9.9493101380435345</v>
      </c>
      <c r="NT19">
        <f t="shared" ca="1" si="20"/>
        <v>9.947525997481014</v>
      </c>
      <c r="NU19">
        <f t="shared" ca="1" si="20"/>
        <v>9.9503176531896198</v>
      </c>
      <c r="NV19">
        <f t="shared" ca="1" si="20"/>
        <v>9.9490574473498761</v>
      </c>
      <c r="NW19">
        <f t="shared" ca="1" si="17"/>
        <v>9.9504946739183477</v>
      </c>
      <c r="NX19">
        <f t="shared" ca="1" si="17"/>
        <v>9.9520977443889187</v>
      </c>
      <c r="NY19">
        <f t="shared" ca="1" si="17"/>
        <v>9.9502201665592551</v>
      </c>
      <c r="NZ19">
        <f t="shared" ca="1" si="17"/>
        <v>9.9488366396203975</v>
      </c>
      <c r="OA19">
        <f t="shared" ca="1" si="17"/>
        <v>9.9507214343037642</v>
      </c>
      <c r="OB19">
        <f t="shared" ca="1" si="17"/>
        <v>9.949892562431268</v>
      </c>
      <c r="OC19">
        <f t="shared" ca="1" si="17"/>
        <v>9.9502530809922671</v>
      </c>
      <c r="OD19">
        <f t="shared" ca="1" si="17"/>
        <v>9.9541509491279818</v>
      </c>
      <c r="OE19">
        <f t="shared" ca="1" si="17"/>
        <v>9.9488613015625784</v>
      </c>
      <c r="OF19">
        <f t="shared" ca="1" si="17"/>
        <v>9.9536762925212141</v>
      </c>
      <c r="OG19">
        <f t="shared" ca="1" si="17"/>
        <v>9.9487056850383855</v>
      </c>
      <c r="OH19">
        <f t="shared" ca="1" si="17"/>
        <v>9.9487652952237013</v>
      </c>
      <c r="OI19">
        <f t="shared" ca="1" si="17"/>
        <v>9.9504279626999264</v>
      </c>
      <c r="OJ19">
        <f t="shared" ca="1" si="17"/>
        <v>9.9470860109191577</v>
      </c>
      <c r="OK19">
        <f t="shared" ca="1" si="17"/>
        <v>9.947667355625935</v>
      </c>
      <c r="OL19">
        <f t="shared" ca="1" si="17"/>
        <v>9.9464885536554064</v>
      </c>
      <c r="OM19">
        <f t="shared" ca="1" si="17"/>
        <v>9.9550237872405596</v>
      </c>
      <c r="ON19">
        <f t="shared" ca="1" si="17"/>
        <v>9.9453729280292755</v>
      </c>
      <c r="OO19">
        <f t="shared" ca="1" si="17"/>
        <v>9.946466008230912</v>
      </c>
      <c r="OP19">
        <f t="shared" ca="1" si="17"/>
        <v>9.9498093594605042</v>
      </c>
      <c r="OQ19">
        <f t="shared" ca="1" si="17"/>
        <v>9.9542619768423748</v>
      </c>
      <c r="OR19">
        <f t="shared" ca="1" si="17"/>
        <v>9.9492929579416653</v>
      </c>
      <c r="OS19">
        <f t="shared" ca="1" si="17"/>
        <v>9.9487738227623499</v>
      </c>
      <c r="OT19">
        <f t="shared" ca="1" si="17"/>
        <v>9.951844947035168</v>
      </c>
      <c r="OU19">
        <f t="shared" ca="1" si="17"/>
        <v>9.9478631475181363</v>
      </c>
      <c r="OV19">
        <f t="shared" ca="1" si="17"/>
        <v>9.947009012246312</v>
      </c>
      <c r="OW19">
        <f t="shared" ca="1" si="17"/>
        <v>9.9505057912917021</v>
      </c>
      <c r="OX19">
        <f t="shared" ca="1" si="17"/>
        <v>9.9491837860758761</v>
      </c>
      <c r="OY19">
        <f t="shared" ca="1" si="17"/>
        <v>9.9461836426392551</v>
      </c>
      <c r="OZ19">
        <f t="shared" ca="1" si="17"/>
        <v>9.9508188248293319</v>
      </c>
      <c r="PA19">
        <f t="shared" ca="1" si="17"/>
        <v>9.9533331490758119</v>
      </c>
      <c r="PB19">
        <f t="shared" ca="1" si="17"/>
        <v>9.9477802891009084</v>
      </c>
      <c r="PC19">
        <f t="shared" ca="1" si="17"/>
        <v>9.9509240386987692</v>
      </c>
      <c r="PD19">
        <f t="shared" ca="1" si="17"/>
        <v>9.9476304440926349</v>
      </c>
      <c r="PE19">
        <f t="shared" ca="1" si="17"/>
        <v>9.9500027931397526</v>
      </c>
      <c r="PF19">
        <f t="shared" ca="1" si="17"/>
        <v>9.9487347485140152</v>
      </c>
      <c r="PG19">
        <f t="shared" ca="1" si="17"/>
        <v>9.9501404941237652</v>
      </c>
      <c r="PH19">
        <f t="shared" ca="1" si="17"/>
        <v>9.9472454204274605</v>
      </c>
      <c r="PI19">
        <f t="shared" ca="1" si="17"/>
        <v>9.951195118899081</v>
      </c>
      <c r="PJ19">
        <f t="shared" ca="1" si="17"/>
        <v>9.9516464731485073</v>
      </c>
      <c r="PK19">
        <f t="shared" ca="1" si="17"/>
        <v>9.953316077758112</v>
      </c>
      <c r="PL19">
        <f t="shared" ca="1" si="17"/>
        <v>9.9543051671314231</v>
      </c>
      <c r="PM19">
        <f t="shared" ca="1" si="17"/>
        <v>9.9492424961088091</v>
      </c>
      <c r="PN19">
        <f t="shared" ca="1" si="17"/>
        <v>9.9477549644644281</v>
      </c>
      <c r="PO19">
        <f t="shared" ca="1" si="17"/>
        <v>9.9519568949319037</v>
      </c>
      <c r="PP19">
        <f t="shared" ca="1" si="17"/>
        <v>9.9486726563040495</v>
      </c>
      <c r="PQ19">
        <f t="shared" ca="1" si="17"/>
        <v>9.9536115150045408</v>
      </c>
      <c r="PR19">
        <f t="shared" ca="1" si="17"/>
        <v>9.9522989382726088</v>
      </c>
      <c r="PS19">
        <f t="shared" ca="1" si="17"/>
        <v>9.9477637660142904</v>
      </c>
      <c r="PT19">
        <f t="shared" ca="1" si="17"/>
        <v>9.9530745596990382</v>
      </c>
      <c r="PU19">
        <f t="shared" ca="1" si="17"/>
        <v>9.9493547512546758</v>
      </c>
      <c r="PV19">
        <f t="shared" ca="1" si="17"/>
        <v>9.9507776535120342</v>
      </c>
      <c r="PW19">
        <f t="shared" ca="1" si="17"/>
        <v>9.9520253799384797</v>
      </c>
      <c r="PX19">
        <f t="shared" ca="1" si="17"/>
        <v>9.9496758096788191</v>
      </c>
      <c r="PY19">
        <f t="shared" ca="1" si="17"/>
        <v>9.9458270544083938</v>
      </c>
      <c r="PZ19">
        <f t="shared" ca="1" si="17"/>
        <v>9.9527146197448868</v>
      </c>
      <c r="QA19">
        <f t="shared" ca="1" si="17"/>
        <v>9.9513235669543789</v>
      </c>
      <c r="QB19">
        <f t="shared" ca="1" si="17"/>
        <v>9.9472527940621216</v>
      </c>
      <c r="QC19">
        <f t="shared" ca="1" si="17"/>
        <v>9.9440620865520675</v>
      </c>
      <c r="QD19">
        <f t="shared" ca="1" si="17"/>
        <v>9.9465785264993656</v>
      </c>
      <c r="QE19">
        <f t="shared" ca="1" si="17"/>
        <v>9.9507830641136703</v>
      </c>
      <c r="QF19">
        <f t="shared" ca="1" si="17"/>
        <v>9.9492816489761875</v>
      </c>
      <c r="QG19">
        <f t="shared" ca="1" si="17"/>
        <v>9.9492712529322045</v>
      </c>
      <c r="QH19">
        <f t="shared" ca="1" si="11"/>
        <v>9.9529123144979899</v>
      </c>
      <c r="QI19">
        <f t="shared" ca="1" si="12"/>
        <v>9.9500742906150421</v>
      </c>
      <c r="QJ19">
        <f t="shared" ca="1" si="12"/>
        <v>9.946727511472254</v>
      </c>
      <c r="QK19">
        <f t="shared" ca="1" si="12"/>
        <v>9.9518296491319305</v>
      </c>
      <c r="QL19">
        <f t="shared" ca="1" si="12"/>
        <v>9.9491016558826537</v>
      </c>
      <c r="QM19">
        <f t="shared" ca="1" si="12"/>
        <v>9.9497521091283545</v>
      </c>
      <c r="QN19">
        <f t="shared" ca="1" si="12"/>
        <v>9.9487947377318022</v>
      </c>
      <c r="QO19">
        <f t="shared" ca="1" si="12"/>
        <v>9.9571985826332927</v>
      </c>
      <c r="QP19">
        <f t="shared" ca="1" si="12"/>
        <v>9.9477274569977894</v>
      </c>
      <c r="QQ19">
        <f t="shared" ca="1" si="12"/>
        <v>9.9470702199181797</v>
      </c>
      <c r="QR19">
        <f t="shared" ca="1" si="12"/>
        <v>9.951216631630226</v>
      </c>
      <c r="QS19">
        <f t="shared" ca="1" si="12"/>
        <v>9.946197720992954</v>
      </c>
      <c r="QT19">
        <f t="shared" ca="1" si="12"/>
        <v>9.9523480592790126</v>
      </c>
      <c r="QU19">
        <f t="shared" ca="1" si="12"/>
        <v>9.9502959533129172</v>
      </c>
      <c r="QV19">
        <f t="shared" ca="1" si="12"/>
        <v>9.9526811416362193</v>
      </c>
      <c r="QW19">
        <f t="shared" ca="1" si="12"/>
        <v>9.9470497265839235</v>
      </c>
      <c r="QX19">
        <f t="shared" ca="1" si="12"/>
        <v>9.9527098446592088</v>
      </c>
      <c r="QY19">
        <f t="shared" ca="1" si="12"/>
        <v>9.941785427654878</v>
      </c>
      <c r="QZ19">
        <f t="shared" ca="1" si="12"/>
        <v>9.9593886472307691</v>
      </c>
      <c r="RA19">
        <f t="shared" ca="1" si="12"/>
        <v>9.948031890717381</v>
      </c>
      <c r="RB19">
        <f t="shared" ca="1" si="12"/>
        <v>9.9462419901259267</v>
      </c>
      <c r="RC19">
        <f t="shared" ca="1" si="12"/>
        <v>9.9474170875443093</v>
      </c>
      <c r="RD19">
        <f t="shared" ca="1" si="12"/>
        <v>9.9472943846347679</v>
      </c>
      <c r="RE19">
        <f t="shared" ca="1" si="12"/>
        <v>9.9483891322603544</v>
      </c>
      <c r="RF19">
        <f t="shared" ca="1" si="12"/>
        <v>9.9547534325893565</v>
      </c>
      <c r="RG19">
        <f t="shared" ca="1" si="12"/>
        <v>9.9520112271483665</v>
      </c>
      <c r="RH19">
        <f t="shared" ca="1" si="12"/>
        <v>9.9532965579725801</v>
      </c>
      <c r="RI19">
        <f t="shared" ca="1" si="12"/>
        <v>9.9472070374260593</v>
      </c>
      <c r="RJ19">
        <f t="shared" ca="1" si="12"/>
        <v>9.9479930783463679</v>
      </c>
      <c r="RK19">
        <f t="shared" ca="1" si="12"/>
        <v>9.9448994185178154</v>
      </c>
      <c r="RL19">
        <f t="shared" ca="1" si="12"/>
        <v>9.9473624979072284</v>
      </c>
      <c r="RM19">
        <f t="shared" ca="1" si="12"/>
        <v>9.9515017890713313</v>
      </c>
      <c r="RN19">
        <f t="shared" ca="1" si="12"/>
        <v>9.9479205607175434</v>
      </c>
      <c r="RO19">
        <f t="shared" ca="1" si="12"/>
        <v>9.9545888594853622</v>
      </c>
      <c r="RP19">
        <f t="shared" ca="1" si="12"/>
        <v>9.9520975445389421</v>
      </c>
      <c r="RQ19">
        <f t="shared" ca="1" si="12"/>
        <v>9.9552606407994517</v>
      </c>
      <c r="RR19">
        <f t="shared" ca="1" si="12"/>
        <v>9.9502902236493238</v>
      </c>
      <c r="RS19">
        <f t="shared" ca="1" si="12"/>
        <v>9.9489785076102564</v>
      </c>
      <c r="RT19">
        <f t="shared" ca="1" si="12"/>
        <v>9.9482166719639995</v>
      </c>
      <c r="RU19">
        <f t="shared" ca="1" si="12"/>
        <v>9.9501408736045107</v>
      </c>
      <c r="RV19">
        <f t="shared" ca="1" si="12"/>
        <v>9.9514262706422159</v>
      </c>
      <c r="RW19">
        <f t="shared" ca="1" si="12"/>
        <v>9.9525084715291925</v>
      </c>
      <c r="RX19">
        <f t="shared" ca="1" si="12"/>
        <v>9.94867701693118</v>
      </c>
      <c r="RY19">
        <f t="shared" ca="1" si="12"/>
        <v>9.9493051794092313</v>
      </c>
      <c r="RZ19">
        <f t="shared" ca="1" si="12"/>
        <v>9.947716304814481</v>
      </c>
      <c r="SA19">
        <f t="shared" ca="1" si="12"/>
        <v>9.9516177940167871</v>
      </c>
      <c r="SB19">
        <f t="shared" ca="1" si="12"/>
        <v>9.9477532457248188</v>
      </c>
      <c r="SC19">
        <f t="shared" ca="1" si="12"/>
        <v>9.9520378103717118</v>
      </c>
      <c r="SD19">
        <f t="shared" ca="1" si="12"/>
        <v>9.9470932923204494</v>
      </c>
      <c r="SE19">
        <f t="shared" ca="1" si="12"/>
        <v>9.9501202650104048</v>
      </c>
      <c r="SF19">
        <f t="shared" ca="1" si="12"/>
        <v>9.9477293511403584</v>
      </c>
      <c r="SG19">
        <f t="shared" ca="1" si="12"/>
        <v>9.9549216200334421</v>
      </c>
    </row>
    <row r="20" spans="1:501" x14ac:dyDescent="0.3">
      <c r="A20" s="1" t="s">
        <v>91</v>
      </c>
      <c r="B20">
        <f t="shared" ca="1" si="13"/>
        <v>9.8895022218927995</v>
      </c>
      <c r="C20">
        <f t="shared" ca="1" si="14"/>
        <v>9.890587662422119</v>
      </c>
      <c r="D20">
        <f t="shared" ca="1" si="14"/>
        <v>9.8867303399857978</v>
      </c>
      <c r="E20">
        <f t="shared" ca="1" si="14"/>
        <v>9.8916580562366399</v>
      </c>
      <c r="F20">
        <f t="shared" ca="1" si="14"/>
        <v>9.8882103282065419</v>
      </c>
      <c r="G20">
        <f t="shared" ca="1" si="14"/>
        <v>9.8874740401906447</v>
      </c>
      <c r="H20">
        <f t="shared" ca="1" si="14"/>
        <v>9.8936304591111917</v>
      </c>
      <c r="I20">
        <f t="shared" ca="1" si="14"/>
        <v>9.8903494198312902</v>
      </c>
      <c r="J20">
        <f t="shared" ca="1" si="14"/>
        <v>9.887358096305304</v>
      </c>
      <c r="K20">
        <f t="shared" ca="1" si="14"/>
        <v>9.8844650365322089</v>
      </c>
      <c r="L20">
        <f t="shared" ca="1" si="14"/>
        <v>9.8923821427587644</v>
      </c>
      <c r="M20">
        <f t="shared" ca="1" si="14"/>
        <v>9.8871174891090714</v>
      </c>
      <c r="N20">
        <f t="shared" ca="1" si="14"/>
        <v>9.8938997701604947</v>
      </c>
      <c r="O20">
        <f t="shared" ca="1" si="14"/>
        <v>9.8897361359688123</v>
      </c>
      <c r="P20">
        <f t="shared" ca="1" si="14"/>
        <v>9.8884548940746004</v>
      </c>
      <c r="Q20">
        <f t="shared" ca="1" si="14"/>
        <v>9.8928043909088146</v>
      </c>
      <c r="R20">
        <f t="shared" ca="1" si="14"/>
        <v>9.8878624466312921</v>
      </c>
      <c r="S20">
        <f t="shared" ca="1" si="14"/>
        <v>9.8880970835734256</v>
      </c>
      <c r="T20">
        <f t="shared" ca="1" si="14"/>
        <v>9.8936327447512458</v>
      </c>
      <c r="U20">
        <f t="shared" ca="1" si="14"/>
        <v>9.8894692035475291</v>
      </c>
      <c r="V20">
        <f t="shared" ca="1" si="14"/>
        <v>9.8889002432331097</v>
      </c>
      <c r="W20">
        <f t="shared" ca="1" si="14"/>
        <v>9.888617594603895</v>
      </c>
      <c r="X20">
        <f t="shared" ca="1" si="14"/>
        <v>9.8914683253034958</v>
      </c>
      <c r="Y20">
        <f t="shared" ca="1" si="14"/>
        <v>9.8924015246752273</v>
      </c>
      <c r="Z20">
        <f t="shared" ca="1" si="14"/>
        <v>9.8896157437920067</v>
      </c>
      <c r="AA20">
        <f t="shared" ca="1" si="14"/>
        <v>9.8926664963642157</v>
      </c>
      <c r="AB20">
        <f t="shared" ca="1" si="14"/>
        <v>9.8907544078524712</v>
      </c>
      <c r="AC20">
        <f t="shared" ca="1" si="14"/>
        <v>9.8937929322161224</v>
      </c>
      <c r="AD20">
        <f t="shared" ca="1" si="14"/>
        <v>9.8875144106074355</v>
      </c>
      <c r="AE20">
        <f t="shared" ca="1" si="14"/>
        <v>9.8917664637105833</v>
      </c>
      <c r="AF20">
        <f t="shared" ca="1" si="14"/>
        <v>9.8849499574174029</v>
      </c>
      <c r="AG20">
        <f t="shared" ca="1" si="14"/>
        <v>9.8920036029775407</v>
      </c>
      <c r="AH20">
        <f t="shared" ca="1" si="14"/>
        <v>9.8882880363727228</v>
      </c>
      <c r="AI20">
        <f t="shared" ca="1" si="14"/>
        <v>9.8944353906429328</v>
      </c>
      <c r="AJ20">
        <f t="shared" ca="1" si="14"/>
        <v>9.8854034725974689</v>
      </c>
      <c r="AK20">
        <f t="shared" ca="1" si="14"/>
        <v>9.8903679878427067</v>
      </c>
      <c r="AL20">
        <f t="shared" ca="1" si="14"/>
        <v>9.8926799895175215</v>
      </c>
      <c r="AM20">
        <f t="shared" ca="1" si="14"/>
        <v>9.8903536137523247</v>
      </c>
      <c r="AN20">
        <f t="shared" ca="1" si="14"/>
        <v>9.8895154003836971</v>
      </c>
      <c r="AO20">
        <f t="shared" ca="1" si="14"/>
        <v>9.8841826962027959</v>
      </c>
      <c r="AP20">
        <f t="shared" ca="1" si="14"/>
        <v>9.8895271722398181</v>
      </c>
      <c r="AQ20">
        <f t="shared" ca="1" si="14"/>
        <v>9.8883418064932389</v>
      </c>
      <c r="AR20">
        <f t="shared" ca="1" si="14"/>
        <v>9.8909941115403335</v>
      </c>
      <c r="AS20">
        <f t="shared" ca="1" si="14"/>
        <v>9.8870395249597376</v>
      </c>
      <c r="AT20">
        <f t="shared" ca="1" si="14"/>
        <v>9.8947899752184298</v>
      </c>
      <c r="AU20">
        <f t="shared" ca="1" si="14"/>
        <v>9.8908509582499189</v>
      </c>
      <c r="AV20">
        <f t="shared" ca="1" si="14"/>
        <v>9.8929253543505613</v>
      </c>
      <c r="AW20">
        <f t="shared" ca="1" si="14"/>
        <v>9.8917326591090049</v>
      </c>
      <c r="AX20">
        <f t="shared" ca="1" si="14"/>
        <v>9.8907117402788334</v>
      </c>
      <c r="AY20">
        <f t="shared" ca="1" si="14"/>
        <v>9.8844107049434822</v>
      </c>
      <c r="AZ20">
        <f t="shared" ca="1" si="14"/>
        <v>9.889401572300816</v>
      </c>
      <c r="BA20">
        <f t="shared" ca="1" si="14"/>
        <v>9.8908538593383906</v>
      </c>
      <c r="BB20">
        <f t="shared" ca="1" si="14"/>
        <v>9.8892887217961096</v>
      </c>
      <c r="BC20">
        <f t="shared" ca="1" si="14"/>
        <v>9.8928517179622801</v>
      </c>
      <c r="BD20">
        <f t="shared" ca="1" si="14"/>
        <v>9.8862457513370749</v>
      </c>
      <c r="BE20">
        <f t="shared" ca="1" si="14"/>
        <v>9.8872861363200428</v>
      </c>
      <c r="BF20">
        <f t="shared" ca="1" si="14"/>
        <v>9.8929321051842436</v>
      </c>
      <c r="BG20">
        <f t="shared" ca="1" si="14"/>
        <v>9.8906873138954907</v>
      </c>
      <c r="BH20">
        <f t="shared" ca="1" si="14"/>
        <v>9.8885894882187859</v>
      </c>
      <c r="BI20">
        <f t="shared" ca="1" si="14"/>
        <v>9.888236465964642</v>
      </c>
      <c r="BJ20">
        <f t="shared" ca="1" si="14"/>
        <v>9.883226657940666</v>
      </c>
      <c r="BK20">
        <f t="shared" ca="1" si="14"/>
        <v>9.8893912039614378</v>
      </c>
      <c r="BL20">
        <f t="shared" ca="1" si="14"/>
        <v>9.8880605692775259</v>
      </c>
      <c r="BM20">
        <f t="shared" ca="1" si="14"/>
        <v>9.8853592233577015</v>
      </c>
      <c r="BN20">
        <f t="shared" ref="BN20:DY23" ca="1" si="21">$B7*EXP(($I7-($H7^2)/2)*(1/52)+$H7*SQRT(1/52)*_xlfn.NORM.INV(RAND(),0,1))</f>
        <v>9.8896382628870132</v>
      </c>
      <c r="BO20">
        <f t="shared" ca="1" si="21"/>
        <v>9.8872413841935298</v>
      </c>
      <c r="BP20">
        <f t="shared" ca="1" si="21"/>
        <v>9.8896140854000514</v>
      </c>
      <c r="BQ20">
        <f t="shared" ca="1" si="21"/>
        <v>9.8895305778053686</v>
      </c>
      <c r="BR20">
        <f t="shared" ca="1" si="21"/>
        <v>9.8884599326442331</v>
      </c>
      <c r="BS20">
        <f t="shared" ca="1" si="21"/>
        <v>9.8899672008950574</v>
      </c>
      <c r="BT20">
        <f t="shared" ca="1" si="21"/>
        <v>9.8914206163982588</v>
      </c>
      <c r="BU20">
        <f t="shared" ca="1" si="21"/>
        <v>9.8872906930063458</v>
      </c>
      <c r="BV20">
        <f t="shared" ca="1" si="21"/>
        <v>9.8913317092613369</v>
      </c>
      <c r="BW20">
        <f t="shared" ca="1" si="21"/>
        <v>9.8893802942433275</v>
      </c>
      <c r="BX20">
        <f t="shared" ca="1" si="21"/>
        <v>9.8846574755045093</v>
      </c>
      <c r="BY20">
        <f t="shared" ca="1" si="21"/>
        <v>9.8877908840465576</v>
      </c>
      <c r="BZ20">
        <f t="shared" ca="1" si="21"/>
        <v>9.8895786022722216</v>
      </c>
      <c r="CA20">
        <f t="shared" ca="1" si="21"/>
        <v>9.8932984784898004</v>
      </c>
      <c r="CB20">
        <f t="shared" ca="1" si="21"/>
        <v>9.8942324688970711</v>
      </c>
      <c r="CC20">
        <f t="shared" ca="1" si="21"/>
        <v>9.8888149019259597</v>
      </c>
      <c r="CD20">
        <f t="shared" ca="1" si="21"/>
        <v>9.8902277449021803</v>
      </c>
      <c r="CE20">
        <f t="shared" ca="1" si="21"/>
        <v>9.8860141735813105</v>
      </c>
      <c r="CF20">
        <f t="shared" ca="1" si="21"/>
        <v>9.8895575657844894</v>
      </c>
      <c r="CG20">
        <f t="shared" ca="1" si="21"/>
        <v>9.8859057079929258</v>
      </c>
      <c r="CH20">
        <f t="shared" ca="1" si="21"/>
        <v>9.8890198077665623</v>
      </c>
      <c r="CI20">
        <f t="shared" ca="1" si="21"/>
        <v>9.8893107340844555</v>
      </c>
      <c r="CJ20">
        <f t="shared" ca="1" si="21"/>
        <v>9.8863966594866763</v>
      </c>
      <c r="CK20">
        <f t="shared" ca="1" si="21"/>
        <v>9.8889334768606361</v>
      </c>
      <c r="CL20">
        <f t="shared" ca="1" si="21"/>
        <v>9.886375712322037</v>
      </c>
      <c r="CM20">
        <f t="shared" ca="1" si="21"/>
        <v>9.8865564481827413</v>
      </c>
      <c r="CN20">
        <f t="shared" ca="1" si="21"/>
        <v>9.8866984907029654</v>
      </c>
      <c r="CO20">
        <f t="shared" ca="1" si="21"/>
        <v>9.8848284674781457</v>
      </c>
      <c r="CP20">
        <f t="shared" ca="1" si="21"/>
        <v>9.8876603179342766</v>
      </c>
      <c r="CQ20">
        <f t="shared" ca="1" si="21"/>
        <v>9.8900620043584055</v>
      </c>
      <c r="CR20">
        <f t="shared" ca="1" si="21"/>
        <v>9.8835745224095852</v>
      </c>
      <c r="CS20">
        <f t="shared" ca="1" si="21"/>
        <v>9.8889300945973897</v>
      </c>
      <c r="CT20">
        <f t="shared" ca="1" si="21"/>
        <v>9.8938875202547898</v>
      </c>
      <c r="CU20">
        <f t="shared" ca="1" si="21"/>
        <v>9.8899248709120773</v>
      </c>
      <c r="CV20">
        <f t="shared" ca="1" si="21"/>
        <v>9.8880384518813766</v>
      </c>
      <c r="CW20">
        <f t="shared" ca="1" si="21"/>
        <v>9.8887112706357705</v>
      </c>
      <c r="CX20">
        <f t="shared" ca="1" si="21"/>
        <v>9.88883809661424</v>
      </c>
      <c r="CY20">
        <f t="shared" ca="1" si="21"/>
        <v>9.8834953313924263</v>
      </c>
      <c r="CZ20">
        <f t="shared" ca="1" si="21"/>
        <v>9.8922504786905741</v>
      </c>
      <c r="DA20">
        <f t="shared" ca="1" si="21"/>
        <v>9.8913147508284922</v>
      </c>
      <c r="DB20">
        <f t="shared" ca="1" si="21"/>
        <v>9.8938168750418676</v>
      </c>
      <c r="DC20">
        <f t="shared" ca="1" si="21"/>
        <v>9.89204418535458</v>
      </c>
      <c r="DD20">
        <f t="shared" ca="1" si="21"/>
        <v>9.8904136926453603</v>
      </c>
      <c r="DE20">
        <f t="shared" ca="1" si="21"/>
        <v>9.8885812045089097</v>
      </c>
      <c r="DF20">
        <f t="shared" ca="1" si="21"/>
        <v>9.8892812104594423</v>
      </c>
      <c r="DG20">
        <f t="shared" ca="1" si="21"/>
        <v>9.8903602580461722</v>
      </c>
      <c r="DH20">
        <f t="shared" ca="1" si="21"/>
        <v>9.8860957502901705</v>
      </c>
      <c r="DI20">
        <f t="shared" ca="1" si="21"/>
        <v>9.8892845289204701</v>
      </c>
      <c r="DJ20">
        <f t="shared" ca="1" si="21"/>
        <v>9.8919526755093159</v>
      </c>
      <c r="DK20">
        <f t="shared" ca="1" si="21"/>
        <v>9.8901035136247284</v>
      </c>
      <c r="DL20">
        <f t="shared" ca="1" si="21"/>
        <v>9.8851906474521876</v>
      </c>
      <c r="DM20">
        <f t="shared" ca="1" si="21"/>
        <v>9.8895196534849319</v>
      </c>
      <c r="DN20">
        <f t="shared" ca="1" si="21"/>
        <v>9.8899216042555995</v>
      </c>
      <c r="DO20">
        <f t="shared" ca="1" si="21"/>
        <v>9.8944090883908036</v>
      </c>
      <c r="DP20">
        <f t="shared" ca="1" si="21"/>
        <v>9.8886240856748469</v>
      </c>
      <c r="DQ20">
        <f t="shared" ca="1" si="21"/>
        <v>9.8953027334387773</v>
      </c>
      <c r="DR20">
        <f t="shared" ca="1" si="21"/>
        <v>9.893951179834696</v>
      </c>
      <c r="DS20">
        <f t="shared" ca="1" si="21"/>
        <v>9.8931541752997525</v>
      </c>
      <c r="DT20">
        <f t="shared" ca="1" si="21"/>
        <v>9.8861426226052433</v>
      </c>
      <c r="DU20">
        <f t="shared" ca="1" si="21"/>
        <v>9.8893678231766096</v>
      </c>
      <c r="DV20">
        <f t="shared" ca="1" si="21"/>
        <v>9.8891846661357228</v>
      </c>
      <c r="DW20">
        <f t="shared" ca="1" si="21"/>
        <v>9.8898414736866425</v>
      </c>
      <c r="DX20">
        <f t="shared" ca="1" si="21"/>
        <v>9.8879352858589691</v>
      </c>
      <c r="DY20">
        <f t="shared" ca="1" si="21"/>
        <v>9.8924474326167324</v>
      </c>
      <c r="DZ20">
        <f t="shared" ca="1" si="18"/>
        <v>9.8936447897118693</v>
      </c>
      <c r="EA20">
        <f t="shared" ca="1" si="15"/>
        <v>9.889179038929985</v>
      </c>
      <c r="EB20">
        <f t="shared" ca="1" si="15"/>
        <v>9.8912834617216614</v>
      </c>
      <c r="EC20">
        <f t="shared" ca="1" si="15"/>
        <v>9.8872032571884692</v>
      </c>
      <c r="ED20">
        <f t="shared" ca="1" si="15"/>
        <v>9.8911824578404808</v>
      </c>
      <c r="EE20">
        <f t="shared" ca="1" si="15"/>
        <v>9.8894368156514201</v>
      </c>
      <c r="EF20">
        <f t="shared" ca="1" si="15"/>
        <v>9.8898561005029855</v>
      </c>
      <c r="EG20">
        <f t="shared" ca="1" si="15"/>
        <v>9.8861264547910697</v>
      </c>
      <c r="EH20">
        <f t="shared" ca="1" si="15"/>
        <v>9.8877045296267188</v>
      </c>
      <c r="EI20">
        <f t="shared" ca="1" si="15"/>
        <v>9.8890185892926556</v>
      </c>
      <c r="EJ20">
        <f t="shared" ca="1" si="15"/>
        <v>9.8876664107651209</v>
      </c>
      <c r="EK20">
        <f t="shared" ca="1" si="15"/>
        <v>9.8876125253165146</v>
      </c>
      <c r="EL20">
        <f t="shared" ca="1" si="15"/>
        <v>9.8887575295804098</v>
      </c>
      <c r="EM20">
        <f t="shared" ca="1" si="15"/>
        <v>9.8880120548683124</v>
      </c>
      <c r="EN20">
        <f t="shared" ca="1" si="15"/>
        <v>9.8895146633515569</v>
      </c>
      <c r="EO20">
        <f t="shared" ca="1" si="15"/>
        <v>9.8867246875787611</v>
      </c>
      <c r="EP20">
        <f t="shared" ca="1" si="15"/>
        <v>9.890777451913392</v>
      </c>
      <c r="EQ20">
        <f t="shared" ca="1" si="15"/>
        <v>9.8900682402448741</v>
      </c>
      <c r="ER20">
        <f t="shared" ca="1" si="15"/>
        <v>9.8864201246718757</v>
      </c>
      <c r="ES20">
        <f t="shared" ca="1" si="15"/>
        <v>9.8902897379762482</v>
      </c>
      <c r="ET20">
        <f t="shared" ca="1" si="15"/>
        <v>9.8905640210998467</v>
      </c>
      <c r="EU20">
        <f t="shared" ca="1" si="15"/>
        <v>9.8902669047109733</v>
      </c>
      <c r="EV20">
        <f t="shared" ca="1" si="15"/>
        <v>9.88928607175548</v>
      </c>
      <c r="EW20">
        <f t="shared" ca="1" si="15"/>
        <v>9.8883089569816249</v>
      </c>
      <c r="EX20">
        <f t="shared" ca="1" si="15"/>
        <v>9.8895574727922657</v>
      </c>
      <c r="EY20">
        <f t="shared" ca="1" si="15"/>
        <v>9.8878190525104888</v>
      </c>
      <c r="EZ20">
        <f t="shared" ca="1" si="15"/>
        <v>9.8881111967389987</v>
      </c>
      <c r="FA20">
        <f t="shared" ca="1" si="15"/>
        <v>9.8899576939023994</v>
      </c>
      <c r="FB20">
        <f t="shared" ca="1" si="15"/>
        <v>9.8882686310396153</v>
      </c>
      <c r="FC20">
        <f t="shared" ca="1" si="15"/>
        <v>9.892383078813257</v>
      </c>
      <c r="FD20">
        <f t="shared" ca="1" si="15"/>
        <v>9.8884267462209916</v>
      </c>
      <c r="FE20">
        <f t="shared" ca="1" si="15"/>
        <v>9.889039572406551</v>
      </c>
      <c r="FF20">
        <f t="shared" ca="1" si="15"/>
        <v>9.8879878275297663</v>
      </c>
      <c r="FG20">
        <f t="shared" ca="1" si="15"/>
        <v>9.8943790131395186</v>
      </c>
      <c r="FH20">
        <f t="shared" ca="1" si="15"/>
        <v>9.8886075541980532</v>
      </c>
      <c r="FI20">
        <f t="shared" ca="1" si="15"/>
        <v>9.8925074722926887</v>
      </c>
      <c r="FJ20">
        <f t="shared" ca="1" si="15"/>
        <v>9.8907319350177048</v>
      </c>
      <c r="FK20">
        <f t="shared" ca="1" si="15"/>
        <v>9.8876436467745012</v>
      </c>
      <c r="FL20">
        <f t="shared" ca="1" si="15"/>
        <v>9.887561454592765</v>
      </c>
      <c r="FM20">
        <f t="shared" ca="1" si="15"/>
        <v>9.8856219598371613</v>
      </c>
      <c r="FN20">
        <f t="shared" ca="1" si="15"/>
        <v>9.8885408179230545</v>
      </c>
      <c r="FO20">
        <f t="shared" ca="1" si="15"/>
        <v>9.8947607105942446</v>
      </c>
      <c r="FP20">
        <f t="shared" ca="1" si="15"/>
        <v>9.8941732872510855</v>
      </c>
      <c r="FQ20">
        <f t="shared" ca="1" si="15"/>
        <v>9.888803984363145</v>
      </c>
      <c r="FR20">
        <f t="shared" ca="1" si="15"/>
        <v>9.8915603568865809</v>
      </c>
      <c r="FS20">
        <f t="shared" ca="1" si="15"/>
        <v>9.8925968405810067</v>
      </c>
      <c r="FT20">
        <f t="shared" ca="1" si="15"/>
        <v>9.8868054449285943</v>
      </c>
      <c r="FU20">
        <f t="shared" ca="1" si="15"/>
        <v>9.888123248710567</v>
      </c>
      <c r="FV20">
        <f t="shared" ca="1" si="15"/>
        <v>9.8901598746406769</v>
      </c>
      <c r="FW20">
        <f t="shared" ca="1" si="15"/>
        <v>9.8856151350914683</v>
      </c>
      <c r="FX20">
        <f t="shared" ca="1" si="15"/>
        <v>9.887233042508111</v>
      </c>
      <c r="FY20">
        <f t="shared" ca="1" si="15"/>
        <v>9.8912216954806116</v>
      </c>
      <c r="FZ20">
        <f t="shared" ca="1" si="15"/>
        <v>9.8884250546349541</v>
      </c>
      <c r="GA20">
        <f t="shared" ca="1" si="15"/>
        <v>9.8932655276885164</v>
      </c>
      <c r="GB20">
        <f t="shared" ca="1" si="15"/>
        <v>9.8842626552041146</v>
      </c>
      <c r="GC20">
        <f t="shared" ca="1" si="15"/>
        <v>9.8876949516369059</v>
      </c>
      <c r="GD20">
        <f t="shared" ca="1" si="15"/>
        <v>9.8905319721416145</v>
      </c>
      <c r="GE20">
        <f t="shared" ca="1" si="15"/>
        <v>9.8938319964799355</v>
      </c>
      <c r="GF20">
        <f t="shared" ca="1" si="15"/>
        <v>9.888763782437648</v>
      </c>
      <c r="GG20">
        <f t="shared" ca="1" si="15"/>
        <v>9.8900152312377774</v>
      </c>
      <c r="GH20">
        <f t="shared" ca="1" si="15"/>
        <v>9.892791788731202</v>
      </c>
      <c r="GI20">
        <f t="shared" ca="1" si="15"/>
        <v>9.8869910868945627</v>
      </c>
      <c r="GJ20">
        <f t="shared" ca="1" si="15"/>
        <v>9.8914619990426544</v>
      </c>
      <c r="GK20">
        <f t="shared" ca="1" si="15"/>
        <v>9.8951160586290197</v>
      </c>
      <c r="GL20">
        <f t="shared" ca="1" si="7"/>
        <v>9.8907016976249089</v>
      </c>
      <c r="GM20">
        <f t="shared" ca="1" si="19"/>
        <v>9.8939579100281954</v>
      </c>
      <c r="GN20">
        <f t="shared" ca="1" si="19"/>
        <v>9.8878186180617114</v>
      </c>
      <c r="GO20">
        <f t="shared" ca="1" si="19"/>
        <v>9.8906096632322704</v>
      </c>
      <c r="GP20">
        <f t="shared" ca="1" si="19"/>
        <v>9.8882843274665841</v>
      </c>
      <c r="GQ20">
        <f t="shared" ca="1" si="19"/>
        <v>9.8877198920046006</v>
      </c>
      <c r="GR20">
        <f t="shared" ca="1" si="19"/>
        <v>9.8884849644990886</v>
      </c>
      <c r="GS20">
        <f t="shared" ca="1" si="19"/>
        <v>9.893332078780837</v>
      </c>
      <c r="GT20">
        <f t="shared" ca="1" si="19"/>
        <v>9.88532900480606</v>
      </c>
      <c r="GU20">
        <f t="shared" ca="1" si="19"/>
        <v>9.889045638482143</v>
      </c>
      <c r="GV20">
        <f t="shared" ca="1" si="19"/>
        <v>9.8865584389253485</v>
      </c>
      <c r="GW20">
        <f t="shared" ca="1" si="19"/>
        <v>9.887254110800173</v>
      </c>
      <c r="GX20">
        <f t="shared" ca="1" si="19"/>
        <v>9.8910352496824938</v>
      </c>
      <c r="GY20">
        <f t="shared" ca="1" si="19"/>
        <v>9.8887906401998507</v>
      </c>
      <c r="GZ20">
        <f t="shared" ca="1" si="19"/>
        <v>9.8900956378193143</v>
      </c>
      <c r="HA20">
        <f t="shared" ca="1" si="19"/>
        <v>9.8879903133611311</v>
      </c>
      <c r="HB20">
        <f t="shared" ca="1" si="19"/>
        <v>9.8827750316206995</v>
      </c>
      <c r="HC20">
        <f t="shared" ca="1" si="19"/>
        <v>9.8843931152607283</v>
      </c>
      <c r="HD20">
        <f t="shared" ca="1" si="19"/>
        <v>9.8859965471959104</v>
      </c>
      <c r="HE20">
        <f t="shared" ca="1" si="19"/>
        <v>9.8871484260664086</v>
      </c>
      <c r="HF20">
        <f t="shared" ca="1" si="19"/>
        <v>9.8918209224226761</v>
      </c>
      <c r="HG20">
        <f t="shared" ca="1" si="19"/>
        <v>9.8880096951334195</v>
      </c>
      <c r="HH20">
        <f t="shared" ca="1" si="19"/>
        <v>9.893102076534019</v>
      </c>
      <c r="HI20">
        <f t="shared" ca="1" si="19"/>
        <v>9.8890937124559741</v>
      </c>
      <c r="HJ20">
        <f t="shared" ca="1" si="19"/>
        <v>9.8895810159568693</v>
      </c>
      <c r="HK20">
        <f t="shared" ca="1" si="19"/>
        <v>9.8855199674360978</v>
      </c>
      <c r="HL20">
        <f t="shared" ca="1" si="19"/>
        <v>9.8864913814245945</v>
      </c>
      <c r="HM20">
        <f t="shared" ca="1" si="19"/>
        <v>9.8896814336572092</v>
      </c>
      <c r="HN20">
        <f t="shared" ca="1" si="19"/>
        <v>9.8888197202732542</v>
      </c>
      <c r="HO20">
        <f t="shared" ca="1" si="19"/>
        <v>9.8890183407058156</v>
      </c>
      <c r="HP20">
        <f t="shared" ca="1" si="19"/>
        <v>9.8889536222672128</v>
      </c>
      <c r="HQ20">
        <f t="shared" ca="1" si="19"/>
        <v>9.8922111614532575</v>
      </c>
      <c r="HR20">
        <f t="shared" ca="1" si="19"/>
        <v>9.8915770679833344</v>
      </c>
      <c r="HS20">
        <f t="shared" ca="1" si="19"/>
        <v>9.8900978446663323</v>
      </c>
      <c r="HT20">
        <f t="shared" ca="1" si="19"/>
        <v>9.8921750545676517</v>
      </c>
      <c r="HU20">
        <f t="shared" ca="1" si="19"/>
        <v>9.8927555315501952</v>
      </c>
      <c r="HV20">
        <f t="shared" ca="1" si="19"/>
        <v>9.8955127284470024</v>
      </c>
      <c r="HW20">
        <f t="shared" ca="1" si="19"/>
        <v>9.8910098790082781</v>
      </c>
      <c r="HX20">
        <f t="shared" ca="1" si="19"/>
        <v>9.8898669204942866</v>
      </c>
      <c r="HY20">
        <f t="shared" ca="1" si="19"/>
        <v>9.896828802622915</v>
      </c>
      <c r="HZ20">
        <f t="shared" ca="1" si="19"/>
        <v>9.8914320606512049</v>
      </c>
      <c r="IA20">
        <f t="shared" ca="1" si="19"/>
        <v>9.8854055314678231</v>
      </c>
      <c r="IB20">
        <f t="shared" ca="1" si="19"/>
        <v>9.8906966466287205</v>
      </c>
      <c r="IC20">
        <f t="shared" ca="1" si="19"/>
        <v>9.8950275525920155</v>
      </c>
      <c r="ID20">
        <f t="shared" ca="1" si="19"/>
        <v>9.890618251292894</v>
      </c>
      <c r="IE20">
        <f t="shared" ca="1" si="19"/>
        <v>9.8904621077450514</v>
      </c>
      <c r="IF20">
        <f t="shared" ca="1" si="19"/>
        <v>9.8931568253817819</v>
      </c>
      <c r="IG20">
        <f t="shared" ca="1" si="19"/>
        <v>9.8877271917671248</v>
      </c>
      <c r="IH20">
        <f t="shared" ca="1" si="19"/>
        <v>9.8893720632446378</v>
      </c>
      <c r="II20">
        <f t="shared" ca="1" si="19"/>
        <v>9.8904577523529404</v>
      </c>
      <c r="IJ20">
        <f t="shared" ca="1" si="19"/>
        <v>9.8891164006164871</v>
      </c>
      <c r="IK20">
        <f t="shared" ca="1" si="19"/>
        <v>9.8906610925765008</v>
      </c>
      <c r="IL20">
        <f t="shared" ca="1" si="19"/>
        <v>9.8884763455540661</v>
      </c>
      <c r="IM20">
        <f t="shared" ca="1" si="19"/>
        <v>9.8890400170880373</v>
      </c>
      <c r="IN20">
        <f t="shared" ca="1" si="19"/>
        <v>9.8897316272842488</v>
      </c>
      <c r="IO20">
        <f t="shared" ca="1" si="19"/>
        <v>9.8916205016543337</v>
      </c>
      <c r="IP20">
        <f t="shared" ca="1" si="19"/>
        <v>9.898153038378906</v>
      </c>
      <c r="IQ20">
        <f t="shared" ca="1" si="19"/>
        <v>9.8889085594753947</v>
      </c>
      <c r="IR20">
        <f t="shared" ca="1" si="19"/>
        <v>9.8896772162213189</v>
      </c>
      <c r="IS20">
        <f t="shared" ca="1" si="19"/>
        <v>9.8915529744262436</v>
      </c>
      <c r="IT20">
        <f t="shared" ca="1" si="19"/>
        <v>9.8876100135959781</v>
      </c>
      <c r="IU20">
        <f t="shared" ca="1" si="19"/>
        <v>9.8850292925239369</v>
      </c>
      <c r="IV20">
        <f t="shared" ca="1" si="19"/>
        <v>9.8921472424602843</v>
      </c>
      <c r="IW20">
        <f t="shared" ca="1" si="19"/>
        <v>9.8889624831851499</v>
      </c>
      <c r="IX20">
        <f t="shared" ca="1" si="19"/>
        <v>9.8888021179331442</v>
      </c>
      <c r="IY20">
        <f t="shared" ca="1" si="16"/>
        <v>9.8849291458963915</v>
      </c>
      <c r="IZ20">
        <f t="shared" ca="1" si="16"/>
        <v>9.893611859930429</v>
      </c>
      <c r="JA20">
        <f t="shared" ca="1" si="16"/>
        <v>9.8898489662423241</v>
      </c>
      <c r="JB20">
        <f t="shared" ca="1" si="16"/>
        <v>9.8915223513747836</v>
      </c>
      <c r="JC20">
        <f t="shared" ca="1" si="16"/>
        <v>9.8881612989329355</v>
      </c>
      <c r="JD20">
        <f t="shared" ca="1" si="16"/>
        <v>9.8844841625824014</v>
      </c>
      <c r="JE20">
        <f t="shared" ca="1" si="16"/>
        <v>9.8895275176475064</v>
      </c>
      <c r="JF20">
        <f t="shared" ca="1" si="16"/>
        <v>9.8912958732426244</v>
      </c>
      <c r="JG20">
        <f t="shared" ca="1" si="16"/>
        <v>9.8940712864566134</v>
      </c>
      <c r="JH20">
        <f t="shared" ca="1" si="16"/>
        <v>9.8880766230258086</v>
      </c>
      <c r="JI20">
        <f t="shared" ca="1" si="16"/>
        <v>9.8889701643142924</v>
      </c>
      <c r="JJ20">
        <f t="shared" ca="1" si="16"/>
        <v>9.8930120421428338</v>
      </c>
      <c r="JK20">
        <f t="shared" ca="1" si="16"/>
        <v>9.8884416278383735</v>
      </c>
      <c r="JL20">
        <f t="shared" ca="1" si="16"/>
        <v>9.8893750564288663</v>
      </c>
      <c r="JM20">
        <f t="shared" ca="1" si="16"/>
        <v>9.8886994164776869</v>
      </c>
      <c r="JN20">
        <f t="shared" ca="1" si="16"/>
        <v>9.8902541467391067</v>
      </c>
      <c r="JO20">
        <f t="shared" ca="1" si="16"/>
        <v>9.8884507210072705</v>
      </c>
      <c r="JP20">
        <f t="shared" ca="1" si="16"/>
        <v>9.884486710198173</v>
      </c>
      <c r="JQ20">
        <f t="shared" ca="1" si="16"/>
        <v>9.8855247759099658</v>
      </c>
      <c r="JR20">
        <f t="shared" ca="1" si="16"/>
        <v>9.8909147876514059</v>
      </c>
      <c r="JS20">
        <f t="shared" ca="1" si="16"/>
        <v>9.8880306323553402</v>
      </c>
      <c r="JT20">
        <f t="shared" ca="1" si="16"/>
        <v>9.8923460196256041</v>
      </c>
      <c r="JU20">
        <f t="shared" ca="1" si="16"/>
        <v>9.8931191422338731</v>
      </c>
      <c r="JV20">
        <f t="shared" ca="1" si="16"/>
        <v>9.890306388990453</v>
      </c>
      <c r="JW20">
        <f t="shared" ca="1" si="16"/>
        <v>9.8898366076631401</v>
      </c>
      <c r="JX20">
        <f t="shared" ca="1" si="16"/>
        <v>9.8925740911071216</v>
      </c>
      <c r="JY20">
        <f t="shared" ca="1" si="16"/>
        <v>9.8885137883577965</v>
      </c>
      <c r="JZ20">
        <f t="shared" ca="1" si="16"/>
        <v>9.8910066120378879</v>
      </c>
      <c r="KA20">
        <f t="shared" ca="1" si="16"/>
        <v>9.8877589020636147</v>
      </c>
      <c r="KB20">
        <f t="shared" ca="1" si="16"/>
        <v>9.88907941663998</v>
      </c>
      <c r="KC20">
        <f t="shared" ca="1" si="16"/>
        <v>9.8872581304744944</v>
      </c>
      <c r="KD20">
        <f t="shared" ca="1" si="16"/>
        <v>9.8899556324601665</v>
      </c>
      <c r="KE20">
        <f t="shared" ca="1" si="16"/>
        <v>9.8927375446367662</v>
      </c>
      <c r="KF20">
        <f t="shared" ca="1" si="16"/>
        <v>9.8892640104214955</v>
      </c>
      <c r="KG20">
        <f t="shared" ca="1" si="16"/>
        <v>9.8924438445023952</v>
      </c>
      <c r="KH20">
        <f t="shared" ca="1" si="16"/>
        <v>9.8926142465999636</v>
      </c>
      <c r="KI20">
        <f t="shared" ca="1" si="16"/>
        <v>9.8889262814233962</v>
      </c>
      <c r="KJ20">
        <f t="shared" ca="1" si="16"/>
        <v>9.8870277260092259</v>
      </c>
      <c r="KK20">
        <f t="shared" ca="1" si="16"/>
        <v>9.8940906952746221</v>
      </c>
      <c r="KL20">
        <f t="shared" ca="1" si="16"/>
        <v>9.8893896504408829</v>
      </c>
      <c r="KM20">
        <f t="shared" ca="1" si="16"/>
        <v>9.8918844092836036</v>
      </c>
      <c r="KN20">
        <f t="shared" ca="1" si="16"/>
        <v>9.8920681299144544</v>
      </c>
      <c r="KO20">
        <f t="shared" ca="1" si="16"/>
        <v>9.8925738643255325</v>
      </c>
      <c r="KP20">
        <f t="shared" ca="1" si="16"/>
        <v>9.8914911929223734</v>
      </c>
      <c r="KQ20">
        <f t="shared" ca="1" si="16"/>
        <v>9.8904646575525881</v>
      </c>
      <c r="KR20">
        <f t="shared" ca="1" si="16"/>
        <v>9.8920723770065599</v>
      </c>
      <c r="KS20">
        <f t="shared" ca="1" si="16"/>
        <v>9.8879902466486769</v>
      </c>
      <c r="KT20">
        <f t="shared" ca="1" si="16"/>
        <v>9.891465223600413</v>
      </c>
      <c r="KU20">
        <f t="shared" ca="1" si="16"/>
        <v>9.8904275674952569</v>
      </c>
      <c r="KV20">
        <f t="shared" ca="1" si="16"/>
        <v>9.8901433349382799</v>
      </c>
      <c r="KW20">
        <f t="shared" ca="1" si="16"/>
        <v>9.88737861999366</v>
      </c>
      <c r="KX20">
        <f t="shared" ca="1" si="16"/>
        <v>9.8874163581405803</v>
      </c>
      <c r="KY20">
        <f t="shared" ca="1" si="16"/>
        <v>9.8904936531506866</v>
      </c>
      <c r="KZ20">
        <f t="shared" ca="1" si="16"/>
        <v>9.891274730278969</v>
      </c>
      <c r="LA20">
        <f t="shared" ca="1" si="16"/>
        <v>9.8855384802848061</v>
      </c>
      <c r="LB20">
        <f t="shared" ca="1" si="16"/>
        <v>9.890879363263938</v>
      </c>
      <c r="LC20">
        <f t="shared" ca="1" si="16"/>
        <v>9.8863963283584404</v>
      </c>
      <c r="LD20">
        <f t="shared" ca="1" si="16"/>
        <v>9.8865097391764643</v>
      </c>
      <c r="LE20">
        <f t="shared" ca="1" si="16"/>
        <v>9.8910677008603933</v>
      </c>
      <c r="LF20">
        <f t="shared" ca="1" si="16"/>
        <v>9.8920359881918554</v>
      </c>
      <c r="LG20">
        <f t="shared" ca="1" si="16"/>
        <v>9.8916698348269225</v>
      </c>
      <c r="LH20">
        <f t="shared" ca="1" si="16"/>
        <v>9.8895389312553803</v>
      </c>
      <c r="LI20">
        <f t="shared" ca="1" si="16"/>
        <v>9.8886505898981998</v>
      </c>
      <c r="LJ20">
        <f t="shared" ca="1" si="9"/>
        <v>9.8865894729471595</v>
      </c>
      <c r="LK20">
        <f t="shared" ca="1" si="20"/>
        <v>9.8865212674098242</v>
      </c>
      <c r="LL20">
        <f t="shared" ca="1" si="20"/>
        <v>9.8917910573123997</v>
      </c>
      <c r="LM20">
        <f t="shared" ca="1" si="20"/>
        <v>9.8861298869984182</v>
      </c>
      <c r="LN20">
        <f t="shared" ca="1" si="20"/>
        <v>9.8923869169369194</v>
      </c>
      <c r="LO20">
        <f t="shared" ca="1" si="20"/>
        <v>9.8954437530460506</v>
      </c>
      <c r="LP20">
        <f t="shared" ca="1" si="20"/>
        <v>9.8876490034568505</v>
      </c>
      <c r="LQ20">
        <f t="shared" ca="1" si="20"/>
        <v>9.8886365807912053</v>
      </c>
      <c r="LR20">
        <f t="shared" ca="1" si="20"/>
        <v>9.8917311619392407</v>
      </c>
      <c r="LS20">
        <f t="shared" ca="1" si="20"/>
        <v>9.8882109481548994</v>
      </c>
      <c r="LT20">
        <f t="shared" ca="1" si="20"/>
        <v>9.8915145822341373</v>
      </c>
      <c r="LU20">
        <f t="shared" ca="1" si="20"/>
        <v>9.8897889480134449</v>
      </c>
      <c r="LV20">
        <f t="shared" ca="1" si="20"/>
        <v>9.8900837153028007</v>
      </c>
      <c r="LW20">
        <f t="shared" ca="1" si="20"/>
        <v>9.8915257597778208</v>
      </c>
      <c r="LX20">
        <f t="shared" ca="1" si="20"/>
        <v>9.892510318428096</v>
      </c>
      <c r="LY20">
        <f t="shared" ca="1" si="20"/>
        <v>9.8912410836107281</v>
      </c>
      <c r="LZ20">
        <f t="shared" ca="1" si="20"/>
        <v>9.8893879100359445</v>
      </c>
      <c r="MA20">
        <f t="shared" ca="1" si="20"/>
        <v>9.8856999981360971</v>
      </c>
      <c r="MB20">
        <f t="shared" ca="1" si="20"/>
        <v>9.8904756603929549</v>
      </c>
      <c r="MC20">
        <f t="shared" ca="1" si="20"/>
        <v>9.8897361859829598</v>
      </c>
      <c r="MD20">
        <f t="shared" ca="1" si="20"/>
        <v>9.8902458642056779</v>
      </c>
      <c r="ME20">
        <f t="shared" ca="1" si="20"/>
        <v>9.8867024851823491</v>
      </c>
      <c r="MF20">
        <f t="shared" ca="1" si="20"/>
        <v>9.8910247200990931</v>
      </c>
      <c r="MG20">
        <f t="shared" ca="1" si="20"/>
        <v>9.8867285984156368</v>
      </c>
      <c r="MH20">
        <f t="shared" ca="1" si="20"/>
        <v>9.8943704636660978</v>
      </c>
      <c r="MI20">
        <f t="shared" ca="1" si="20"/>
        <v>9.8909607443750858</v>
      </c>
      <c r="MJ20">
        <f t="shared" ca="1" si="20"/>
        <v>9.8858161045878781</v>
      </c>
      <c r="MK20">
        <f t="shared" ca="1" si="20"/>
        <v>9.8927099867191899</v>
      </c>
      <c r="ML20">
        <f t="shared" ca="1" si="20"/>
        <v>9.8917698028199865</v>
      </c>
      <c r="MM20">
        <f t="shared" ca="1" si="20"/>
        <v>9.8874361880588335</v>
      </c>
      <c r="MN20">
        <f t="shared" ca="1" si="20"/>
        <v>9.8886557688063519</v>
      </c>
      <c r="MO20">
        <f t="shared" ca="1" si="20"/>
        <v>9.8875118773915798</v>
      </c>
      <c r="MP20">
        <f t="shared" ca="1" si="20"/>
        <v>9.8902841414103726</v>
      </c>
      <c r="MQ20">
        <f t="shared" ca="1" si="20"/>
        <v>9.8895683895418962</v>
      </c>
      <c r="MR20">
        <f t="shared" ca="1" si="20"/>
        <v>9.8912145657296122</v>
      </c>
      <c r="MS20">
        <f t="shared" ca="1" si="20"/>
        <v>9.8915361923793537</v>
      </c>
      <c r="MT20">
        <f t="shared" ca="1" si="20"/>
        <v>9.8930827507039165</v>
      </c>
      <c r="MU20">
        <f t="shared" ca="1" si="20"/>
        <v>9.8877345536343029</v>
      </c>
      <c r="MV20">
        <f t="shared" ca="1" si="20"/>
        <v>9.8892853729250092</v>
      </c>
      <c r="MW20">
        <f t="shared" ca="1" si="20"/>
        <v>9.8856867852658574</v>
      </c>
      <c r="MX20">
        <f t="shared" ca="1" si="20"/>
        <v>9.8928759110323412</v>
      </c>
      <c r="MY20">
        <f t="shared" ca="1" si="20"/>
        <v>9.8885478310168757</v>
      </c>
      <c r="MZ20">
        <f t="shared" ca="1" si="20"/>
        <v>9.8905308467541104</v>
      </c>
      <c r="NA20">
        <f t="shared" ca="1" si="20"/>
        <v>9.8851096871529691</v>
      </c>
      <c r="NB20">
        <f t="shared" ca="1" si="20"/>
        <v>9.8918017341678333</v>
      </c>
      <c r="NC20">
        <f t="shared" ca="1" si="20"/>
        <v>9.8917528912619339</v>
      </c>
      <c r="ND20">
        <f t="shared" ca="1" si="20"/>
        <v>9.8946668890629059</v>
      </c>
      <c r="NE20">
        <f t="shared" ca="1" si="20"/>
        <v>9.8921954596029309</v>
      </c>
      <c r="NF20">
        <f t="shared" ca="1" si="20"/>
        <v>9.8886557997218638</v>
      </c>
      <c r="NG20">
        <f t="shared" ca="1" si="20"/>
        <v>9.8884923927978825</v>
      </c>
      <c r="NH20">
        <f t="shared" ca="1" si="20"/>
        <v>9.8859017758352952</v>
      </c>
      <c r="NI20">
        <f t="shared" ca="1" si="20"/>
        <v>9.8917491839400871</v>
      </c>
      <c r="NJ20">
        <f t="shared" ca="1" si="20"/>
        <v>9.8798848159673494</v>
      </c>
      <c r="NK20">
        <f t="shared" ca="1" si="20"/>
        <v>9.8896055909350569</v>
      </c>
      <c r="NL20">
        <f t="shared" ca="1" si="20"/>
        <v>9.8892084484168148</v>
      </c>
      <c r="NM20">
        <f t="shared" ca="1" si="20"/>
        <v>9.8871345741753274</v>
      </c>
      <c r="NN20">
        <f t="shared" ca="1" si="20"/>
        <v>9.8885955413281117</v>
      </c>
      <c r="NO20">
        <f t="shared" ca="1" si="20"/>
        <v>9.8894154106020586</v>
      </c>
      <c r="NP20">
        <f t="shared" ca="1" si="20"/>
        <v>9.8917078010789847</v>
      </c>
      <c r="NQ20">
        <f t="shared" ca="1" si="20"/>
        <v>9.8889977357324597</v>
      </c>
      <c r="NR20">
        <f t="shared" ca="1" si="20"/>
        <v>9.8924728921184091</v>
      </c>
      <c r="NS20">
        <f t="shared" ca="1" si="20"/>
        <v>9.8941976725960821</v>
      </c>
      <c r="NT20">
        <f t="shared" ca="1" si="20"/>
        <v>9.8865955902668716</v>
      </c>
      <c r="NU20">
        <f t="shared" ca="1" si="20"/>
        <v>9.8907418327683185</v>
      </c>
      <c r="NV20">
        <f t="shared" ca="1" si="20"/>
        <v>9.8895313663233502</v>
      </c>
      <c r="NW20">
        <f t="shared" ca="1" si="17"/>
        <v>9.8898838975768371</v>
      </c>
      <c r="NX20">
        <f t="shared" ca="1" si="17"/>
        <v>9.8887658816059929</v>
      </c>
      <c r="NY20">
        <f t="shared" ca="1" si="17"/>
        <v>9.8883787708601787</v>
      </c>
      <c r="NZ20">
        <f t="shared" ca="1" si="17"/>
        <v>9.8940381254796197</v>
      </c>
      <c r="OA20">
        <f t="shared" ca="1" si="17"/>
        <v>9.8874742124069037</v>
      </c>
      <c r="OB20">
        <f t="shared" ca="1" si="17"/>
        <v>9.891635267775774</v>
      </c>
      <c r="OC20">
        <f t="shared" ca="1" si="17"/>
        <v>9.8905295911840767</v>
      </c>
      <c r="OD20">
        <f t="shared" ca="1" si="17"/>
        <v>9.8928048053545261</v>
      </c>
      <c r="OE20">
        <f t="shared" ca="1" si="17"/>
        <v>9.8898119158011948</v>
      </c>
      <c r="OF20">
        <f t="shared" ca="1" si="17"/>
        <v>9.888483098693996</v>
      </c>
      <c r="OG20">
        <f t="shared" ca="1" si="17"/>
        <v>9.8937006285151572</v>
      </c>
      <c r="OH20">
        <f t="shared" ca="1" si="17"/>
        <v>9.88897217607283</v>
      </c>
      <c r="OI20">
        <f t="shared" ca="1" si="17"/>
        <v>9.89247491449159</v>
      </c>
      <c r="OJ20">
        <f t="shared" ca="1" si="17"/>
        <v>9.8887859887763856</v>
      </c>
      <c r="OK20">
        <f t="shared" ca="1" si="17"/>
        <v>9.8908118086788779</v>
      </c>
      <c r="OL20">
        <f t="shared" ca="1" si="17"/>
        <v>9.8888462021772128</v>
      </c>
      <c r="OM20">
        <f t="shared" ca="1" si="17"/>
        <v>9.8904575712835641</v>
      </c>
      <c r="ON20">
        <f t="shared" ca="1" si="17"/>
        <v>9.8901166114088852</v>
      </c>
      <c r="OO20">
        <f t="shared" ca="1" si="17"/>
        <v>9.8913521746162232</v>
      </c>
      <c r="OP20">
        <f t="shared" ca="1" si="17"/>
        <v>9.8919269068823148</v>
      </c>
      <c r="OQ20">
        <f t="shared" ca="1" si="17"/>
        <v>9.8886851975399441</v>
      </c>
      <c r="OR20">
        <f t="shared" ca="1" si="17"/>
        <v>9.8928758047120624</v>
      </c>
      <c r="OS20">
        <f t="shared" ca="1" si="17"/>
        <v>9.8900126262651309</v>
      </c>
      <c r="OT20">
        <f t="shared" ca="1" si="17"/>
        <v>9.8889365792714123</v>
      </c>
      <c r="OU20">
        <f t="shared" ca="1" si="17"/>
        <v>9.8882894773919698</v>
      </c>
      <c r="OV20">
        <f t="shared" ca="1" si="17"/>
        <v>9.8881660583370063</v>
      </c>
      <c r="OW20">
        <f t="shared" ca="1" si="17"/>
        <v>9.8886619966306135</v>
      </c>
      <c r="OX20">
        <f t="shared" ca="1" si="17"/>
        <v>9.8905926496646206</v>
      </c>
      <c r="OY20">
        <f t="shared" ca="1" si="17"/>
        <v>9.8917206952845937</v>
      </c>
      <c r="OZ20">
        <f t="shared" ca="1" si="17"/>
        <v>9.8882573963302107</v>
      </c>
      <c r="PA20">
        <f t="shared" ca="1" si="17"/>
        <v>9.8872622954592977</v>
      </c>
      <c r="PB20">
        <f t="shared" ca="1" si="17"/>
        <v>9.8863994352047531</v>
      </c>
      <c r="PC20">
        <f t="shared" ca="1" si="17"/>
        <v>9.8894202476221729</v>
      </c>
      <c r="PD20">
        <f t="shared" ca="1" si="17"/>
        <v>9.8914978664254622</v>
      </c>
      <c r="PE20">
        <f t="shared" ca="1" si="17"/>
        <v>9.8884946971751564</v>
      </c>
      <c r="PF20">
        <f t="shared" ca="1" si="17"/>
        <v>9.8921526923198702</v>
      </c>
      <c r="PG20">
        <f t="shared" ca="1" si="17"/>
        <v>9.8866383516685765</v>
      </c>
      <c r="PH20">
        <f t="shared" ca="1" si="17"/>
        <v>9.8884149827210468</v>
      </c>
      <c r="PI20">
        <f t="shared" ca="1" si="17"/>
        <v>9.8933618487642541</v>
      </c>
      <c r="PJ20">
        <f t="shared" ca="1" si="17"/>
        <v>9.8940266162526207</v>
      </c>
      <c r="PK20">
        <f t="shared" ca="1" si="17"/>
        <v>9.8894340190338212</v>
      </c>
      <c r="PL20">
        <f t="shared" ca="1" si="17"/>
        <v>9.8875546488418937</v>
      </c>
      <c r="PM20">
        <f t="shared" ca="1" si="17"/>
        <v>9.8866658191830457</v>
      </c>
      <c r="PN20">
        <f t="shared" ca="1" si="17"/>
        <v>9.8906842322248263</v>
      </c>
      <c r="PO20">
        <f t="shared" ca="1" si="17"/>
        <v>9.8921405157737201</v>
      </c>
      <c r="PP20">
        <f t="shared" ca="1" si="17"/>
        <v>9.8899548437137543</v>
      </c>
      <c r="PQ20">
        <f t="shared" ca="1" si="17"/>
        <v>9.8895267872122474</v>
      </c>
      <c r="PR20">
        <f t="shared" ca="1" si="17"/>
        <v>9.8861923411779244</v>
      </c>
      <c r="PS20">
        <f t="shared" ca="1" si="17"/>
        <v>9.8859936288508212</v>
      </c>
      <c r="PT20">
        <f t="shared" ca="1" si="17"/>
        <v>9.886687757775956</v>
      </c>
      <c r="PU20">
        <f t="shared" ca="1" si="17"/>
        <v>9.888344692363793</v>
      </c>
      <c r="PV20">
        <f t="shared" ca="1" si="17"/>
        <v>9.8906358787039093</v>
      </c>
      <c r="PW20">
        <f t="shared" ca="1" si="17"/>
        <v>9.8910179066685018</v>
      </c>
      <c r="PX20">
        <f t="shared" ca="1" si="17"/>
        <v>9.8966359067771013</v>
      </c>
      <c r="PY20">
        <f t="shared" ca="1" si="17"/>
        <v>9.8866386210379265</v>
      </c>
      <c r="PZ20">
        <f t="shared" ca="1" si="17"/>
        <v>9.8916384003077926</v>
      </c>
      <c r="QA20">
        <f t="shared" ca="1" si="17"/>
        <v>9.8890985218620653</v>
      </c>
      <c r="QB20">
        <f t="shared" ca="1" si="17"/>
        <v>9.8885623061639318</v>
      </c>
      <c r="QC20">
        <f t="shared" ca="1" si="17"/>
        <v>9.8864892723413167</v>
      </c>
      <c r="QD20">
        <f t="shared" ca="1" si="17"/>
        <v>9.8903681548683302</v>
      </c>
      <c r="QE20">
        <f t="shared" ca="1" si="17"/>
        <v>9.8885568871447962</v>
      </c>
      <c r="QF20">
        <f t="shared" ca="1" si="17"/>
        <v>9.890872532093562</v>
      </c>
      <c r="QG20">
        <f t="shared" ca="1" si="17"/>
        <v>9.8944733716533229</v>
      </c>
      <c r="QH20">
        <f t="shared" ca="1" si="11"/>
        <v>9.8888701851116796</v>
      </c>
      <c r="QI20">
        <f t="shared" ref="QI20:SG23" ca="1" si="22">$B7*EXP(($I7-($H7^2)/2)*(1/52)+$H7*SQRT(1/52)*_xlfn.NORM.INV(RAND(),0,1))</f>
        <v>9.8894996412673333</v>
      </c>
      <c r="QJ20">
        <f t="shared" ca="1" si="22"/>
        <v>9.8909462631933032</v>
      </c>
      <c r="QK20">
        <f t="shared" ca="1" si="22"/>
        <v>9.8912546334241416</v>
      </c>
      <c r="QL20">
        <f t="shared" ca="1" si="22"/>
        <v>9.8893688017781241</v>
      </c>
      <c r="QM20">
        <f t="shared" ca="1" si="22"/>
        <v>9.8871026031334441</v>
      </c>
      <c r="QN20">
        <f t="shared" ca="1" si="22"/>
        <v>9.8850605706274948</v>
      </c>
      <c r="QO20">
        <f t="shared" ca="1" si="22"/>
        <v>9.888200635345008</v>
      </c>
      <c r="QP20">
        <f t="shared" ca="1" si="22"/>
        <v>9.8907665335144266</v>
      </c>
      <c r="QQ20">
        <f t="shared" ca="1" si="22"/>
        <v>9.8903347453668253</v>
      </c>
      <c r="QR20">
        <f t="shared" ca="1" si="22"/>
        <v>9.8903788526843162</v>
      </c>
      <c r="QS20">
        <f t="shared" ca="1" si="22"/>
        <v>9.8942828419169366</v>
      </c>
      <c r="QT20">
        <f t="shared" ca="1" si="22"/>
        <v>9.891266198985214</v>
      </c>
      <c r="QU20">
        <f t="shared" ca="1" si="22"/>
        <v>9.8911829338352035</v>
      </c>
      <c r="QV20">
        <f t="shared" ca="1" si="22"/>
        <v>9.8873975957206941</v>
      </c>
      <c r="QW20">
        <f t="shared" ca="1" si="22"/>
        <v>9.8943043090354568</v>
      </c>
      <c r="QX20">
        <f t="shared" ca="1" si="22"/>
        <v>9.8894232555279</v>
      </c>
      <c r="QY20">
        <f t="shared" ca="1" si="22"/>
        <v>9.8906141390527562</v>
      </c>
      <c r="QZ20">
        <f t="shared" ca="1" si="22"/>
        <v>9.8869605901421806</v>
      </c>
      <c r="RA20">
        <f t="shared" ca="1" si="22"/>
        <v>9.8851676057326099</v>
      </c>
      <c r="RB20">
        <f t="shared" ca="1" si="22"/>
        <v>9.8904000593529435</v>
      </c>
      <c r="RC20">
        <f t="shared" ca="1" si="22"/>
        <v>9.8853298037514836</v>
      </c>
      <c r="RD20">
        <f t="shared" ca="1" si="22"/>
        <v>9.8891038917737006</v>
      </c>
      <c r="RE20">
        <f t="shared" ca="1" si="22"/>
        <v>9.8891634774568402</v>
      </c>
      <c r="RF20">
        <f t="shared" ca="1" si="22"/>
        <v>9.8918375595843084</v>
      </c>
      <c r="RG20">
        <f t="shared" ca="1" si="22"/>
        <v>9.8928313679117057</v>
      </c>
      <c r="RH20">
        <f t="shared" ca="1" si="22"/>
        <v>9.8901285345645729</v>
      </c>
      <c r="RI20">
        <f t="shared" ca="1" si="22"/>
        <v>9.8911859995320448</v>
      </c>
      <c r="RJ20">
        <f t="shared" ca="1" si="22"/>
        <v>9.8908217333874386</v>
      </c>
      <c r="RK20">
        <f t="shared" ca="1" si="22"/>
        <v>9.8919224123666591</v>
      </c>
      <c r="RL20">
        <f t="shared" ca="1" si="22"/>
        <v>9.8926231229000958</v>
      </c>
      <c r="RM20">
        <f t="shared" ca="1" si="22"/>
        <v>9.8948827019701646</v>
      </c>
      <c r="RN20">
        <f t="shared" ca="1" si="22"/>
        <v>9.8877301565178417</v>
      </c>
      <c r="RO20">
        <f t="shared" ca="1" si="22"/>
        <v>9.8840525449661882</v>
      </c>
      <c r="RP20">
        <f t="shared" ca="1" si="22"/>
        <v>9.8872196774176118</v>
      </c>
      <c r="RQ20">
        <f t="shared" ca="1" si="22"/>
        <v>9.8907140818262889</v>
      </c>
      <c r="RR20">
        <f t="shared" ca="1" si="22"/>
        <v>9.8938298835605227</v>
      </c>
      <c r="RS20">
        <f t="shared" ca="1" si="22"/>
        <v>9.8885588393958841</v>
      </c>
      <c r="RT20">
        <f t="shared" ca="1" si="22"/>
        <v>9.8884701469924021</v>
      </c>
      <c r="RU20">
        <f t="shared" ca="1" si="22"/>
        <v>9.8923631873961355</v>
      </c>
      <c r="RV20">
        <f t="shared" ca="1" si="22"/>
        <v>9.8854298337772342</v>
      </c>
      <c r="RW20">
        <f t="shared" ca="1" si="22"/>
        <v>9.8914176756314891</v>
      </c>
      <c r="RX20">
        <f t="shared" ca="1" si="22"/>
        <v>9.8893760182417303</v>
      </c>
      <c r="RY20">
        <f t="shared" ca="1" si="22"/>
        <v>9.8934082800467049</v>
      </c>
      <c r="RZ20">
        <f t="shared" ca="1" si="22"/>
        <v>9.8957643099832513</v>
      </c>
      <c r="SA20">
        <f t="shared" ca="1" si="22"/>
        <v>9.8878625482951268</v>
      </c>
      <c r="SB20">
        <f t="shared" ca="1" si="22"/>
        <v>9.8880809729746986</v>
      </c>
      <c r="SC20">
        <f t="shared" ca="1" si="22"/>
        <v>9.892431268886547</v>
      </c>
      <c r="SD20">
        <f t="shared" ca="1" si="22"/>
        <v>9.8908639296987406</v>
      </c>
      <c r="SE20">
        <f t="shared" ca="1" si="22"/>
        <v>9.8885217075509733</v>
      </c>
      <c r="SF20">
        <f t="shared" ca="1" si="22"/>
        <v>9.8896925372157263</v>
      </c>
      <c r="SG20">
        <f t="shared" ca="1" si="22"/>
        <v>9.892335035699217</v>
      </c>
    </row>
    <row r="21" spans="1:501" x14ac:dyDescent="0.3">
      <c r="A21" s="1" t="s">
        <v>92</v>
      </c>
      <c r="B21">
        <f t="shared" ca="1" si="13"/>
        <v>9.9013260919965251</v>
      </c>
      <c r="C21">
        <f t="shared" ref="C21:BN23" ca="1" si="23">$B8*EXP(($I8-($H8^2)/2)*(1/52)+$H8*SQRT(1/52)*_xlfn.NORM.INV(RAND(),0,1))</f>
        <v>9.9054243110999547</v>
      </c>
      <c r="D21">
        <f t="shared" ca="1" si="23"/>
        <v>9.9000678221897793</v>
      </c>
      <c r="E21">
        <f t="shared" ca="1" si="23"/>
        <v>9.8992732957592171</v>
      </c>
      <c r="F21">
        <f t="shared" ca="1" si="23"/>
        <v>9.9001571366878984</v>
      </c>
      <c r="G21">
        <f t="shared" ca="1" si="23"/>
        <v>9.9004691014780359</v>
      </c>
      <c r="H21">
        <f t="shared" ca="1" si="23"/>
        <v>9.8991489793054317</v>
      </c>
      <c r="I21">
        <f t="shared" ca="1" si="23"/>
        <v>9.9018428750365537</v>
      </c>
      <c r="J21">
        <f t="shared" ca="1" si="23"/>
        <v>9.8980908254357196</v>
      </c>
      <c r="K21">
        <f t="shared" ca="1" si="23"/>
        <v>9.9002997883466204</v>
      </c>
      <c r="L21">
        <f t="shared" ca="1" si="23"/>
        <v>9.8992100347117873</v>
      </c>
      <c r="M21">
        <f t="shared" ca="1" si="23"/>
        <v>9.900597932669676</v>
      </c>
      <c r="N21">
        <f t="shared" ca="1" si="23"/>
        <v>9.8971733612057236</v>
      </c>
      <c r="O21">
        <f t="shared" ca="1" si="23"/>
        <v>9.8978098361494382</v>
      </c>
      <c r="P21">
        <f t="shared" ca="1" si="23"/>
        <v>9.8966935740982436</v>
      </c>
      <c r="Q21">
        <f t="shared" ca="1" si="23"/>
        <v>9.8994609823747233</v>
      </c>
      <c r="R21">
        <f t="shared" ca="1" si="23"/>
        <v>9.8978360440126298</v>
      </c>
      <c r="S21">
        <f t="shared" ca="1" si="23"/>
        <v>9.8984086351074243</v>
      </c>
      <c r="T21">
        <f t="shared" ca="1" si="23"/>
        <v>9.8992770838830371</v>
      </c>
      <c r="U21">
        <f t="shared" ca="1" si="23"/>
        <v>9.8986437728107504</v>
      </c>
      <c r="V21">
        <f t="shared" ca="1" si="23"/>
        <v>9.8998466845800284</v>
      </c>
      <c r="W21">
        <f t="shared" ca="1" si="23"/>
        <v>9.8969747042707823</v>
      </c>
      <c r="X21">
        <f t="shared" ca="1" si="23"/>
        <v>9.8990287768605665</v>
      </c>
      <c r="Y21">
        <f t="shared" ca="1" si="23"/>
        <v>9.9006686284686793</v>
      </c>
      <c r="Z21">
        <f t="shared" ca="1" si="23"/>
        <v>9.8960065022675128</v>
      </c>
      <c r="AA21">
        <f t="shared" ca="1" si="23"/>
        <v>9.8994386111331458</v>
      </c>
      <c r="AB21">
        <f t="shared" ca="1" si="23"/>
        <v>9.8985403411309836</v>
      </c>
      <c r="AC21">
        <f t="shared" ca="1" si="23"/>
        <v>9.8983509262578959</v>
      </c>
      <c r="AD21">
        <f t="shared" ca="1" si="23"/>
        <v>9.8979149189077393</v>
      </c>
      <c r="AE21">
        <f t="shared" ca="1" si="23"/>
        <v>9.8989010145985823</v>
      </c>
      <c r="AF21">
        <f t="shared" ca="1" si="23"/>
        <v>9.900800622813323</v>
      </c>
      <c r="AG21">
        <f t="shared" ca="1" si="23"/>
        <v>9.8992150432962394</v>
      </c>
      <c r="AH21">
        <f t="shared" ca="1" si="23"/>
        <v>9.899284061196159</v>
      </c>
      <c r="AI21">
        <f t="shared" ca="1" si="23"/>
        <v>9.9033156201246602</v>
      </c>
      <c r="AJ21">
        <f t="shared" ca="1" si="23"/>
        <v>9.9009301690984728</v>
      </c>
      <c r="AK21">
        <f t="shared" ca="1" si="23"/>
        <v>9.9007953102410777</v>
      </c>
      <c r="AL21">
        <f t="shared" ca="1" si="23"/>
        <v>9.9020176823049724</v>
      </c>
      <c r="AM21">
        <f t="shared" ca="1" si="23"/>
        <v>9.89638307835558</v>
      </c>
      <c r="AN21">
        <f t="shared" ca="1" si="23"/>
        <v>9.8972857078352252</v>
      </c>
      <c r="AO21">
        <f t="shared" ca="1" si="23"/>
        <v>9.8960562450108025</v>
      </c>
      <c r="AP21">
        <f t="shared" ca="1" si="23"/>
        <v>9.899954442391822</v>
      </c>
      <c r="AQ21">
        <f t="shared" ca="1" si="23"/>
        <v>9.9034036866890176</v>
      </c>
      <c r="AR21">
        <f t="shared" ca="1" si="23"/>
        <v>9.9011845383801926</v>
      </c>
      <c r="AS21">
        <f t="shared" ca="1" si="23"/>
        <v>9.9010292888010678</v>
      </c>
      <c r="AT21">
        <f t="shared" ca="1" si="23"/>
        <v>9.8987967034556785</v>
      </c>
      <c r="AU21">
        <f t="shared" ca="1" si="23"/>
        <v>9.9035998403871481</v>
      </c>
      <c r="AV21">
        <f t="shared" ca="1" si="23"/>
        <v>9.8997944926112176</v>
      </c>
      <c r="AW21">
        <f t="shared" ca="1" si="23"/>
        <v>9.8968768659701656</v>
      </c>
      <c r="AX21">
        <f t="shared" ca="1" si="23"/>
        <v>9.8970349073375239</v>
      </c>
      <c r="AY21">
        <f t="shared" ca="1" si="23"/>
        <v>9.9019716899846806</v>
      </c>
      <c r="AZ21">
        <f t="shared" ca="1" si="23"/>
        <v>9.9004097656319505</v>
      </c>
      <c r="BA21">
        <f t="shared" ca="1" si="23"/>
        <v>9.9025309478903285</v>
      </c>
      <c r="BB21">
        <f t="shared" ca="1" si="23"/>
        <v>9.8982692743462426</v>
      </c>
      <c r="BC21">
        <f t="shared" ca="1" si="23"/>
        <v>9.8983968205163251</v>
      </c>
      <c r="BD21">
        <f t="shared" ca="1" si="23"/>
        <v>9.9012815201654831</v>
      </c>
      <c r="BE21">
        <f t="shared" ca="1" si="23"/>
        <v>9.9026307958034501</v>
      </c>
      <c r="BF21">
        <f t="shared" ca="1" si="23"/>
        <v>9.903007793628479</v>
      </c>
      <c r="BG21">
        <f t="shared" ca="1" si="23"/>
        <v>9.8968949867117857</v>
      </c>
      <c r="BH21">
        <f t="shared" ca="1" si="23"/>
        <v>9.8969968199458069</v>
      </c>
      <c r="BI21">
        <f t="shared" ca="1" si="23"/>
        <v>9.8996117770283689</v>
      </c>
      <c r="BJ21">
        <f t="shared" ca="1" si="23"/>
        <v>9.8949516183840043</v>
      </c>
      <c r="BK21">
        <f t="shared" ca="1" si="23"/>
        <v>9.8974412627941746</v>
      </c>
      <c r="BL21">
        <f t="shared" ca="1" si="23"/>
        <v>9.9002973240298662</v>
      </c>
      <c r="BM21">
        <f t="shared" ca="1" si="23"/>
        <v>9.8993577250324645</v>
      </c>
      <c r="BN21">
        <f t="shared" ca="1" si="23"/>
        <v>9.8961970450683161</v>
      </c>
      <c r="BO21">
        <f t="shared" ca="1" si="21"/>
        <v>9.90416669187303</v>
      </c>
      <c r="BP21">
        <f t="shared" ca="1" si="21"/>
        <v>9.8995585647813407</v>
      </c>
      <c r="BQ21">
        <f t="shared" ca="1" si="21"/>
        <v>9.9016580818613793</v>
      </c>
      <c r="BR21">
        <f t="shared" ca="1" si="21"/>
        <v>9.900736364988596</v>
      </c>
      <c r="BS21">
        <f t="shared" ca="1" si="21"/>
        <v>9.8973696917833731</v>
      </c>
      <c r="BT21">
        <f t="shared" ca="1" si="21"/>
        <v>9.8976634996238211</v>
      </c>
      <c r="BU21">
        <f t="shared" ca="1" si="21"/>
        <v>9.9024276749090596</v>
      </c>
      <c r="BV21">
        <f t="shared" ca="1" si="21"/>
        <v>9.8978854670447483</v>
      </c>
      <c r="BW21">
        <f t="shared" ca="1" si="21"/>
        <v>9.9047125826976448</v>
      </c>
      <c r="BX21">
        <f t="shared" ca="1" si="21"/>
        <v>9.8960594155839257</v>
      </c>
      <c r="BY21">
        <f t="shared" ca="1" si="21"/>
        <v>9.902367560953218</v>
      </c>
      <c r="BZ21">
        <f t="shared" ca="1" si="21"/>
        <v>9.8976639007442326</v>
      </c>
      <c r="CA21">
        <f t="shared" ca="1" si="21"/>
        <v>9.9036259584268791</v>
      </c>
      <c r="CB21">
        <f t="shared" ca="1" si="21"/>
        <v>9.9017229625261223</v>
      </c>
      <c r="CC21">
        <f t="shared" ca="1" si="21"/>
        <v>9.8975112110731942</v>
      </c>
      <c r="CD21">
        <f t="shared" ca="1" si="21"/>
        <v>9.8998269352970993</v>
      </c>
      <c r="CE21">
        <f t="shared" ca="1" si="21"/>
        <v>9.9001729430508583</v>
      </c>
      <c r="CF21">
        <f t="shared" ca="1" si="21"/>
        <v>9.9024182670138892</v>
      </c>
      <c r="CG21">
        <f t="shared" ca="1" si="21"/>
        <v>9.8965791361776514</v>
      </c>
      <c r="CH21">
        <f t="shared" ca="1" si="21"/>
        <v>9.9049764596227412</v>
      </c>
      <c r="CI21">
        <f t="shared" ca="1" si="21"/>
        <v>9.9009470087139011</v>
      </c>
      <c r="CJ21">
        <f t="shared" ca="1" si="21"/>
        <v>9.902634598386804</v>
      </c>
      <c r="CK21">
        <f t="shared" ca="1" si="21"/>
        <v>9.8985613059913327</v>
      </c>
      <c r="CL21">
        <f t="shared" ca="1" si="21"/>
        <v>9.9052261933123837</v>
      </c>
      <c r="CM21">
        <f t="shared" ca="1" si="21"/>
        <v>9.901837472082704</v>
      </c>
      <c r="CN21">
        <f t="shared" ca="1" si="21"/>
        <v>9.8965231974451537</v>
      </c>
      <c r="CO21">
        <f t="shared" ca="1" si="21"/>
        <v>9.9016142556117561</v>
      </c>
      <c r="CP21">
        <f t="shared" ca="1" si="21"/>
        <v>9.9000684012772417</v>
      </c>
      <c r="CQ21">
        <f t="shared" ca="1" si="21"/>
        <v>9.9005102334165347</v>
      </c>
      <c r="CR21">
        <f t="shared" ca="1" si="21"/>
        <v>9.8959230671328946</v>
      </c>
      <c r="CS21">
        <f t="shared" ca="1" si="21"/>
        <v>9.8975265604134819</v>
      </c>
      <c r="CT21">
        <f t="shared" ca="1" si="21"/>
        <v>9.897125363090451</v>
      </c>
      <c r="CU21">
        <f t="shared" ca="1" si="21"/>
        <v>9.9004982317058055</v>
      </c>
      <c r="CV21">
        <f t="shared" ca="1" si="21"/>
        <v>9.899801739694194</v>
      </c>
      <c r="CW21">
        <f t="shared" ca="1" si="21"/>
        <v>9.9009293358692521</v>
      </c>
      <c r="CX21">
        <f t="shared" ca="1" si="21"/>
        <v>9.8960218606455523</v>
      </c>
      <c r="CY21">
        <f t="shared" ca="1" si="21"/>
        <v>9.9049809561479876</v>
      </c>
      <c r="CZ21">
        <f t="shared" ca="1" si="21"/>
        <v>9.8981616946757853</v>
      </c>
      <c r="DA21">
        <f t="shared" ca="1" si="21"/>
        <v>9.8983288367550308</v>
      </c>
      <c r="DB21">
        <f t="shared" ca="1" si="21"/>
        <v>9.9005197088174963</v>
      </c>
      <c r="DC21">
        <f t="shared" ca="1" si="21"/>
        <v>9.8983479693060872</v>
      </c>
      <c r="DD21">
        <f t="shared" ca="1" si="21"/>
        <v>9.8970589953788721</v>
      </c>
      <c r="DE21">
        <f t="shared" ca="1" si="21"/>
        <v>9.8979814627239531</v>
      </c>
      <c r="DF21">
        <f t="shared" ca="1" si="21"/>
        <v>9.903042726701436</v>
      </c>
      <c r="DG21">
        <f t="shared" ca="1" si="21"/>
        <v>9.903739032067314</v>
      </c>
      <c r="DH21">
        <f t="shared" ca="1" si="21"/>
        <v>9.9002321672532894</v>
      </c>
      <c r="DI21">
        <f t="shared" ca="1" si="21"/>
        <v>9.8965585546953285</v>
      </c>
      <c r="DJ21">
        <f t="shared" ca="1" si="21"/>
        <v>9.8994499899620774</v>
      </c>
      <c r="DK21">
        <f t="shared" ca="1" si="21"/>
        <v>9.8994759469607168</v>
      </c>
      <c r="DL21">
        <f t="shared" ca="1" si="21"/>
        <v>9.9033411250830543</v>
      </c>
      <c r="DM21">
        <f t="shared" ca="1" si="21"/>
        <v>9.9006383880459463</v>
      </c>
      <c r="DN21">
        <f t="shared" ca="1" si="21"/>
        <v>9.8998527048355545</v>
      </c>
      <c r="DO21">
        <f t="shared" ca="1" si="21"/>
        <v>9.899551680070072</v>
      </c>
      <c r="DP21">
        <f t="shared" ca="1" si="21"/>
        <v>9.8998990335365917</v>
      </c>
      <c r="DQ21">
        <f t="shared" ca="1" si="21"/>
        <v>9.9027565322251512</v>
      </c>
      <c r="DR21">
        <f t="shared" ca="1" si="21"/>
        <v>9.8986005352025419</v>
      </c>
      <c r="DS21">
        <f t="shared" ca="1" si="21"/>
        <v>9.9035164748879101</v>
      </c>
      <c r="DT21">
        <f t="shared" ca="1" si="21"/>
        <v>9.9038532897529734</v>
      </c>
      <c r="DU21">
        <f t="shared" ca="1" si="21"/>
        <v>9.8996699877132404</v>
      </c>
      <c r="DV21">
        <f t="shared" ca="1" si="21"/>
        <v>9.8988956026121446</v>
      </c>
      <c r="DW21">
        <f t="shared" ca="1" si="21"/>
        <v>9.8978694114721719</v>
      </c>
      <c r="DX21">
        <f t="shared" ca="1" si="21"/>
        <v>9.902490843056988</v>
      </c>
      <c r="DY21">
        <f t="shared" ca="1" si="21"/>
        <v>9.904113396904112</v>
      </c>
      <c r="DZ21">
        <f t="shared" ca="1" si="18"/>
        <v>9.8997285701141404</v>
      </c>
      <c r="EA21">
        <f t="shared" ca="1" si="15"/>
        <v>9.9023652996433142</v>
      </c>
      <c r="EB21">
        <f t="shared" ca="1" si="15"/>
        <v>9.8943267484027544</v>
      </c>
      <c r="EC21">
        <f t="shared" ca="1" si="15"/>
        <v>9.8993922754214854</v>
      </c>
      <c r="ED21">
        <f t="shared" ca="1" si="15"/>
        <v>9.8995591818550341</v>
      </c>
      <c r="EE21">
        <f t="shared" ca="1" si="15"/>
        <v>9.9010436156824113</v>
      </c>
      <c r="EF21">
        <f t="shared" ca="1" si="15"/>
        <v>9.9064375514011918</v>
      </c>
      <c r="EG21">
        <f t="shared" ca="1" si="15"/>
        <v>9.9005128080627838</v>
      </c>
      <c r="EH21">
        <f t="shared" ca="1" si="15"/>
        <v>9.8960389629811552</v>
      </c>
      <c r="EI21">
        <f t="shared" ca="1" si="15"/>
        <v>9.8959939946635647</v>
      </c>
      <c r="EJ21">
        <f t="shared" ca="1" si="15"/>
        <v>9.8988826124834031</v>
      </c>
      <c r="EK21">
        <f t="shared" ca="1" si="15"/>
        <v>9.8991723461247805</v>
      </c>
      <c r="EL21">
        <f t="shared" ca="1" si="15"/>
        <v>9.8989889536102851</v>
      </c>
      <c r="EM21">
        <f t="shared" ca="1" si="15"/>
        <v>9.8991496783788175</v>
      </c>
      <c r="EN21">
        <f t="shared" ca="1" si="15"/>
        <v>9.8994826653857917</v>
      </c>
      <c r="EO21">
        <f t="shared" ca="1" si="15"/>
        <v>9.8999669511392927</v>
      </c>
      <c r="EP21">
        <f t="shared" ca="1" si="15"/>
        <v>9.8952302748493501</v>
      </c>
      <c r="EQ21">
        <f t="shared" ca="1" si="15"/>
        <v>9.9029502219710732</v>
      </c>
      <c r="ER21">
        <f t="shared" ca="1" si="15"/>
        <v>9.9031976841867699</v>
      </c>
      <c r="ES21">
        <f t="shared" ca="1" si="15"/>
        <v>9.9005544643384322</v>
      </c>
      <c r="ET21">
        <f t="shared" ca="1" si="15"/>
        <v>9.8989507180230696</v>
      </c>
      <c r="EU21">
        <f t="shared" ca="1" si="15"/>
        <v>9.8992974635753548</v>
      </c>
      <c r="EV21">
        <f t="shared" ca="1" si="15"/>
        <v>9.9063340919881391</v>
      </c>
      <c r="EW21">
        <f t="shared" ca="1" si="15"/>
        <v>9.9061947087572655</v>
      </c>
      <c r="EX21">
        <f t="shared" ca="1" si="15"/>
        <v>9.9005834572388007</v>
      </c>
      <c r="EY21">
        <f t="shared" ca="1" si="15"/>
        <v>9.9001227072467799</v>
      </c>
      <c r="EZ21">
        <f t="shared" ca="1" si="15"/>
        <v>9.8978033997362722</v>
      </c>
      <c r="FA21">
        <f t="shared" ca="1" si="15"/>
        <v>9.8999715333943357</v>
      </c>
      <c r="FB21">
        <f t="shared" ca="1" si="15"/>
        <v>9.9008944243990271</v>
      </c>
      <c r="FC21">
        <f t="shared" ca="1" si="15"/>
        <v>9.8959019042293299</v>
      </c>
      <c r="FD21">
        <f t="shared" ca="1" si="15"/>
        <v>9.8976404952493571</v>
      </c>
      <c r="FE21">
        <f t="shared" ca="1" si="15"/>
        <v>9.9027195670062191</v>
      </c>
      <c r="FF21">
        <f t="shared" ca="1" si="15"/>
        <v>9.8980969090172692</v>
      </c>
      <c r="FG21">
        <f t="shared" ca="1" si="15"/>
        <v>9.9006014733545467</v>
      </c>
      <c r="FH21">
        <f t="shared" ca="1" si="15"/>
        <v>9.8947821452607325</v>
      </c>
      <c r="FI21">
        <f t="shared" ca="1" si="15"/>
        <v>9.8996889072838261</v>
      </c>
      <c r="FJ21">
        <f t="shared" ca="1" si="15"/>
        <v>9.8992473039280995</v>
      </c>
      <c r="FK21">
        <f t="shared" ca="1" si="15"/>
        <v>9.9028314603271053</v>
      </c>
      <c r="FL21">
        <f t="shared" ca="1" si="15"/>
        <v>9.9016769259523016</v>
      </c>
      <c r="FM21">
        <f t="shared" ca="1" si="15"/>
        <v>9.9000415239907831</v>
      </c>
      <c r="FN21">
        <f t="shared" ca="1" si="15"/>
        <v>9.8998692605699272</v>
      </c>
      <c r="FO21">
        <f t="shared" ca="1" si="15"/>
        <v>9.8948558151328481</v>
      </c>
      <c r="FP21">
        <f t="shared" ca="1" si="15"/>
        <v>9.9007276265734472</v>
      </c>
      <c r="FQ21">
        <f t="shared" ca="1" si="15"/>
        <v>9.9031866365312702</v>
      </c>
      <c r="FR21">
        <f t="shared" ca="1" si="15"/>
        <v>9.8968893778526006</v>
      </c>
      <c r="FS21">
        <f t="shared" ca="1" si="15"/>
        <v>9.8985181990898834</v>
      </c>
      <c r="FT21">
        <f t="shared" ca="1" si="15"/>
        <v>9.8926138382294919</v>
      </c>
      <c r="FU21">
        <f t="shared" ca="1" si="15"/>
        <v>9.8981112851044379</v>
      </c>
      <c r="FV21">
        <f t="shared" ca="1" si="15"/>
        <v>9.9004373302883089</v>
      </c>
      <c r="FW21">
        <f t="shared" ca="1" si="15"/>
        <v>9.8993842683495465</v>
      </c>
      <c r="FX21">
        <f t="shared" ca="1" si="15"/>
        <v>9.900264116199347</v>
      </c>
      <c r="FY21">
        <f t="shared" ca="1" si="15"/>
        <v>9.9004484655349874</v>
      </c>
      <c r="FZ21">
        <f t="shared" ca="1" si="15"/>
        <v>9.8979731960261432</v>
      </c>
      <c r="GA21">
        <f t="shared" ca="1" si="15"/>
        <v>9.8971337818140057</v>
      </c>
      <c r="GB21">
        <f t="shared" ca="1" si="15"/>
        <v>9.9004124941179636</v>
      </c>
      <c r="GC21">
        <f t="shared" ca="1" si="15"/>
        <v>9.8995887579657111</v>
      </c>
      <c r="GD21">
        <f t="shared" ca="1" si="15"/>
        <v>9.8991307857908239</v>
      </c>
      <c r="GE21">
        <f t="shared" ca="1" si="15"/>
        <v>9.9031885482371464</v>
      </c>
      <c r="GF21">
        <f t="shared" ca="1" si="15"/>
        <v>9.9014546208984395</v>
      </c>
      <c r="GG21">
        <f t="shared" ca="1" si="15"/>
        <v>9.9023769397947401</v>
      </c>
      <c r="GH21">
        <f t="shared" ca="1" si="15"/>
        <v>9.9075723945407681</v>
      </c>
      <c r="GI21">
        <f t="shared" ca="1" si="15"/>
        <v>9.9006757137236612</v>
      </c>
      <c r="GJ21">
        <f t="shared" ca="1" si="15"/>
        <v>9.8974769588775562</v>
      </c>
      <c r="GK21">
        <f t="shared" ca="1" si="15"/>
        <v>9.9000554279072226</v>
      </c>
      <c r="GL21">
        <f t="shared" ca="1" si="7"/>
        <v>9.8981890795604794</v>
      </c>
      <c r="GM21">
        <f t="shared" ca="1" si="19"/>
        <v>9.9033150889497943</v>
      </c>
      <c r="GN21">
        <f t="shared" ca="1" si="19"/>
        <v>9.9015872918359396</v>
      </c>
      <c r="GO21">
        <f t="shared" ca="1" si="19"/>
        <v>9.8995044865331181</v>
      </c>
      <c r="GP21">
        <f t="shared" ca="1" si="19"/>
        <v>9.8998598064677736</v>
      </c>
      <c r="GQ21">
        <f t="shared" ca="1" si="19"/>
        <v>9.9005017113361706</v>
      </c>
      <c r="GR21">
        <f t="shared" ca="1" si="19"/>
        <v>9.8991334447913779</v>
      </c>
      <c r="GS21">
        <f t="shared" ca="1" si="19"/>
        <v>9.9018829332796319</v>
      </c>
      <c r="GT21">
        <f t="shared" ca="1" si="19"/>
        <v>9.8992100814169763</v>
      </c>
      <c r="GU21">
        <f t="shared" ca="1" si="19"/>
        <v>9.9047058533769263</v>
      </c>
      <c r="GV21">
        <f t="shared" ca="1" si="19"/>
        <v>9.9015818519893166</v>
      </c>
      <c r="GW21">
        <f t="shared" ca="1" si="19"/>
        <v>9.9010968030312672</v>
      </c>
      <c r="GX21">
        <f t="shared" ca="1" si="19"/>
        <v>9.8988218753425095</v>
      </c>
      <c r="GY21">
        <f t="shared" ca="1" si="19"/>
        <v>9.898424027856553</v>
      </c>
      <c r="GZ21">
        <f t="shared" ca="1" si="19"/>
        <v>9.8969715427531906</v>
      </c>
      <c r="HA21">
        <f t="shared" ca="1" si="19"/>
        <v>9.9015603448254019</v>
      </c>
      <c r="HB21">
        <f t="shared" ca="1" si="19"/>
        <v>9.9041954466963915</v>
      </c>
      <c r="HC21">
        <f t="shared" ca="1" si="19"/>
        <v>9.8993022029894675</v>
      </c>
      <c r="HD21">
        <f t="shared" ca="1" si="19"/>
        <v>9.896986643408777</v>
      </c>
      <c r="HE21">
        <f t="shared" ca="1" si="19"/>
        <v>9.8967617313004297</v>
      </c>
      <c r="HF21">
        <f t="shared" ca="1" si="19"/>
        <v>9.8997258114625009</v>
      </c>
      <c r="HG21">
        <f t="shared" ca="1" si="19"/>
        <v>9.8937348369839917</v>
      </c>
      <c r="HH21">
        <f t="shared" ca="1" si="19"/>
        <v>9.8986731022101662</v>
      </c>
      <c r="HI21">
        <f t="shared" ca="1" si="19"/>
        <v>9.9001045893896578</v>
      </c>
      <c r="HJ21">
        <f t="shared" ca="1" si="19"/>
        <v>9.8966987259777905</v>
      </c>
      <c r="HK21">
        <f t="shared" ca="1" si="19"/>
        <v>9.9021196381931489</v>
      </c>
      <c r="HL21">
        <f t="shared" ca="1" si="19"/>
        <v>9.8986232672190066</v>
      </c>
      <c r="HM21">
        <f t="shared" ca="1" si="19"/>
        <v>9.9008468507376843</v>
      </c>
      <c r="HN21">
        <f t="shared" ca="1" si="19"/>
        <v>9.9006749157405292</v>
      </c>
      <c r="HO21">
        <f t="shared" ca="1" si="19"/>
        <v>9.9002213917732149</v>
      </c>
      <c r="HP21">
        <f t="shared" ca="1" si="19"/>
        <v>9.9021668839204295</v>
      </c>
      <c r="HQ21">
        <f t="shared" ca="1" si="19"/>
        <v>9.902658602362207</v>
      </c>
      <c r="HR21">
        <f t="shared" ca="1" si="19"/>
        <v>9.9036178943650945</v>
      </c>
      <c r="HS21">
        <f t="shared" ca="1" si="19"/>
        <v>9.8996827796914602</v>
      </c>
      <c r="HT21">
        <f t="shared" ca="1" si="19"/>
        <v>9.905471635664675</v>
      </c>
      <c r="HU21">
        <f t="shared" ca="1" si="19"/>
        <v>9.8983807886947623</v>
      </c>
      <c r="HV21">
        <f t="shared" ca="1" si="19"/>
        <v>9.8966322503764772</v>
      </c>
      <c r="HW21">
        <f t="shared" ca="1" si="19"/>
        <v>9.9017826662604254</v>
      </c>
      <c r="HX21">
        <f t="shared" ca="1" si="19"/>
        <v>9.903002947179079</v>
      </c>
      <c r="HY21">
        <f t="shared" ca="1" si="19"/>
        <v>9.9005495868408673</v>
      </c>
      <c r="HZ21">
        <f t="shared" ca="1" si="19"/>
        <v>9.8998208465431681</v>
      </c>
      <c r="IA21">
        <f t="shared" ca="1" si="19"/>
        <v>9.8974658332659899</v>
      </c>
      <c r="IB21">
        <f t="shared" ca="1" si="19"/>
        <v>9.8996859533105432</v>
      </c>
      <c r="IC21">
        <f t="shared" ca="1" si="19"/>
        <v>9.8995222488550958</v>
      </c>
      <c r="ID21">
        <f t="shared" ca="1" si="19"/>
        <v>9.8997138911182851</v>
      </c>
      <c r="IE21">
        <f t="shared" ca="1" si="19"/>
        <v>9.8996347429254339</v>
      </c>
      <c r="IF21">
        <f t="shared" ca="1" si="19"/>
        <v>9.8947688478827285</v>
      </c>
      <c r="IG21">
        <f t="shared" ca="1" si="19"/>
        <v>9.9017374660706814</v>
      </c>
      <c r="IH21">
        <f t="shared" ca="1" si="19"/>
        <v>9.900858309731511</v>
      </c>
      <c r="II21">
        <f t="shared" ca="1" si="19"/>
        <v>9.8978386994120449</v>
      </c>
      <c r="IJ21">
        <f t="shared" ca="1" si="19"/>
        <v>9.8959289087810163</v>
      </c>
      <c r="IK21">
        <f t="shared" ca="1" si="19"/>
        <v>9.9037291386277975</v>
      </c>
      <c r="IL21">
        <f t="shared" ca="1" si="19"/>
        <v>9.9040091402486006</v>
      </c>
      <c r="IM21">
        <f t="shared" ca="1" si="19"/>
        <v>9.8981494285116813</v>
      </c>
      <c r="IN21">
        <f t="shared" ca="1" si="19"/>
        <v>9.9020245408532279</v>
      </c>
      <c r="IO21">
        <f t="shared" ca="1" si="19"/>
        <v>9.8981397302558438</v>
      </c>
      <c r="IP21">
        <f t="shared" ca="1" si="19"/>
        <v>9.8954835935963583</v>
      </c>
      <c r="IQ21">
        <f t="shared" ca="1" si="19"/>
        <v>9.900885182227805</v>
      </c>
      <c r="IR21">
        <f t="shared" ca="1" si="19"/>
        <v>9.8982532103589929</v>
      </c>
      <c r="IS21">
        <f t="shared" ca="1" si="19"/>
        <v>9.8960423698682334</v>
      </c>
      <c r="IT21">
        <f t="shared" ca="1" si="19"/>
        <v>9.8947665244560348</v>
      </c>
      <c r="IU21">
        <f t="shared" ca="1" si="19"/>
        <v>9.9013134178013331</v>
      </c>
      <c r="IV21">
        <f t="shared" ca="1" si="19"/>
        <v>9.8992892960704104</v>
      </c>
      <c r="IW21">
        <f t="shared" ca="1" si="19"/>
        <v>9.9005640483820052</v>
      </c>
      <c r="IX21">
        <f t="shared" ca="1" si="19"/>
        <v>9.8971234173713363</v>
      </c>
      <c r="IY21">
        <f t="shared" ca="1" si="16"/>
        <v>9.9019802969381647</v>
      </c>
      <c r="IZ21">
        <f t="shared" ca="1" si="16"/>
        <v>9.9013652377601726</v>
      </c>
      <c r="JA21">
        <f t="shared" ca="1" si="16"/>
        <v>9.8997663616741622</v>
      </c>
      <c r="JB21">
        <f t="shared" ca="1" si="16"/>
        <v>9.9031047777554129</v>
      </c>
      <c r="JC21">
        <f t="shared" ca="1" si="16"/>
        <v>9.8999658446864363</v>
      </c>
      <c r="JD21">
        <f t="shared" ca="1" si="16"/>
        <v>9.9043528544254844</v>
      </c>
      <c r="JE21">
        <f t="shared" ca="1" si="16"/>
        <v>9.9011748031716493</v>
      </c>
      <c r="JF21">
        <f t="shared" ca="1" si="16"/>
        <v>9.9012410893749241</v>
      </c>
      <c r="JG21">
        <f t="shared" ca="1" si="16"/>
        <v>9.9044548550855165</v>
      </c>
      <c r="JH21">
        <f t="shared" ca="1" si="16"/>
        <v>9.9018106020290322</v>
      </c>
      <c r="JI21">
        <f t="shared" ca="1" si="16"/>
        <v>9.9017603920433235</v>
      </c>
      <c r="JJ21">
        <f t="shared" ca="1" si="16"/>
        <v>9.9016083242178983</v>
      </c>
      <c r="JK21">
        <f t="shared" ca="1" si="16"/>
        <v>9.9045473482824722</v>
      </c>
      <c r="JL21">
        <f t="shared" ca="1" si="16"/>
        <v>9.904773399026098</v>
      </c>
      <c r="JM21">
        <f t="shared" ca="1" si="16"/>
        <v>9.8989327324083973</v>
      </c>
      <c r="JN21">
        <f t="shared" ca="1" si="16"/>
        <v>9.8961911041714874</v>
      </c>
      <c r="JO21">
        <f t="shared" ca="1" si="16"/>
        <v>9.8995601370603961</v>
      </c>
      <c r="JP21">
        <f t="shared" ca="1" si="16"/>
        <v>9.8987978563667784</v>
      </c>
      <c r="JQ21">
        <f t="shared" ca="1" si="16"/>
        <v>9.9006639319215477</v>
      </c>
      <c r="JR21">
        <f t="shared" ca="1" si="16"/>
        <v>9.9002799483649184</v>
      </c>
      <c r="JS21">
        <f t="shared" ca="1" si="16"/>
        <v>9.903304358203588</v>
      </c>
      <c r="JT21">
        <f t="shared" ca="1" si="16"/>
        <v>9.903046638465808</v>
      </c>
      <c r="JU21">
        <f t="shared" ca="1" si="16"/>
        <v>9.8976833544226022</v>
      </c>
      <c r="JV21">
        <f t="shared" ca="1" si="16"/>
        <v>9.9003200950158732</v>
      </c>
      <c r="JW21">
        <f t="shared" ca="1" si="16"/>
        <v>9.8976021164727115</v>
      </c>
      <c r="JX21">
        <f t="shared" ca="1" si="16"/>
        <v>9.8957885191028243</v>
      </c>
      <c r="JY21">
        <f t="shared" ca="1" si="16"/>
        <v>9.896020620297012</v>
      </c>
      <c r="JZ21">
        <f t="shared" ca="1" si="16"/>
        <v>9.9022342622979576</v>
      </c>
      <c r="KA21">
        <f t="shared" ca="1" si="16"/>
        <v>9.9014454361211328</v>
      </c>
      <c r="KB21">
        <f t="shared" ca="1" si="16"/>
        <v>9.8981496379581593</v>
      </c>
      <c r="KC21">
        <f t="shared" ca="1" si="16"/>
        <v>9.899035610105539</v>
      </c>
      <c r="KD21">
        <f t="shared" ca="1" si="16"/>
        <v>9.9013906875853621</v>
      </c>
      <c r="KE21">
        <f t="shared" ca="1" si="16"/>
        <v>9.9003646020081053</v>
      </c>
      <c r="KF21">
        <f t="shared" ca="1" si="16"/>
        <v>9.9036709408745427</v>
      </c>
      <c r="KG21">
        <f t="shared" ca="1" si="16"/>
        <v>9.9010444824009518</v>
      </c>
      <c r="KH21">
        <f t="shared" ca="1" si="16"/>
        <v>9.8981876698876068</v>
      </c>
      <c r="KI21">
        <f t="shared" ca="1" si="16"/>
        <v>9.9011090499313195</v>
      </c>
      <c r="KJ21">
        <f t="shared" ca="1" si="16"/>
        <v>9.9033275187326915</v>
      </c>
      <c r="KK21">
        <f t="shared" ca="1" si="16"/>
        <v>9.897109179190668</v>
      </c>
      <c r="KL21">
        <f t="shared" ca="1" si="16"/>
        <v>9.8934516464176738</v>
      </c>
      <c r="KM21">
        <f t="shared" ca="1" si="16"/>
        <v>9.901728860871259</v>
      </c>
      <c r="KN21">
        <f t="shared" ca="1" si="16"/>
        <v>9.9004824161527978</v>
      </c>
      <c r="KO21">
        <f t="shared" ca="1" si="16"/>
        <v>9.9006928064259441</v>
      </c>
      <c r="KP21">
        <f t="shared" ca="1" si="16"/>
        <v>9.8977290021379627</v>
      </c>
      <c r="KQ21">
        <f t="shared" ca="1" si="16"/>
        <v>9.8998749492433831</v>
      </c>
      <c r="KR21">
        <f t="shared" ca="1" si="16"/>
        <v>9.9008148018964359</v>
      </c>
      <c r="KS21">
        <f t="shared" ca="1" si="16"/>
        <v>9.9051244903255906</v>
      </c>
      <c r="KT21">
        <f t="shared" ca="1" si="16"/>
        <v>9.8996081904469335</v>
      </c>
      <c r="KU21">
        <f t="shared" ca="1" si="16"/>
        <v>9.9007792119217513</v>
      </c>
      <c r="KV21">
        <f t="shared" ca="1" si="16"/>
        <v>9.899085823768921</v>
      </c>
      <c r="KW21">
        <f t="shared" ca="1" si="16"/>
        <v>9.9023741696682119</v>
      </c>
      <c r="KX21">
        <f t="shared" ca="1" si="16"/>
        <v>9.9033797311522225</v>
      </c>
      <c r="KY21">
        <f t="shared" ca="1" si="16"/>
        <v>9.8981203702170308</v>
      </c>
      <c r="KZ21">
        <f t="shared" ca="1" si="16"/>
        <v>9.9011388009505605</v>
      </c>
      <c r="LA21">
        <f t="shared" ca="1" si="16"/>
        <v>9.8992731487855732</v>
      </c>
      <c r="LB21">
        <f t="shared" ca="1" si="16"/>
        <v>9.9025026347663765</v>
      </c>
      <c r="LC21">
        <f t="shared" ca="1" si="16"/>
        <v>9.8996140128278043</v>
      </c>
      <c r="LD21">
        <f t="shared" ca="1" si="16"/>
        <v>9.9072534315497194</v>
      </c>
      <c r="LE21">
        <f t="shared" ca="1" si="16"/>
        <v>9.9007290825746708</v>
      </c>
      <c r="LF21">
        <f t="shared" ca="1" si="16"/>
        <v>9.8994703729793496</v>
      </c>
      <c r="LG21">
        <f t="shared" ca="1" si="16"/>
        <v>9.8977405010592587</v>
      </c>
      <c r="LH21">
        <f t="shared" ca="1" si="16"/>
        <v>9.8960362315064732</v>
      </c>
      <c r="LI21">
        <f t="shared" ca="1" si="16"/>
        <v>9.9016925894166032</v>
      </c>
      <c r="LJ21">
        <f t="shared" ca="1" si="9"/>
        <v>9.9006514085464872</v>
      </c>
      <c r="LK21">
        <f t="shared" ca="1" si="20"/>
        <v>9.8994435651080668</v>
      </c>
      <c r="LL21">
        <f t="shared" ca="1" si="20"/>
        <v>9.8985068128583666</v>
      </c>
      <c r="LM21">
        <f t="shared" ca="1" si="20"/>
        <v>9.9014246106217598</v>
      </c>
      <c r="LN21">
        <f t="shared" ca="1" si="20"/>
        <v>9.899907510685896</v>
      </c>
      <c r="LO21">
        <f t="shared" ca="1" si="20"/>
        <v>9.9040714052470715</v>
      </c>
      <c r="LP21">
        <f t="shared" ca="1" si="20"/>
        <v>9.8975382627289843</v>
      </c>
      <c r="LQ21">
        <f t="shared" ca="1" si="20"/>
        <v>9.8981685683455414</v>
      </c>
      <c r="LR21">
        <f t="shared" ca="1" si="20"/>
        <v>9.9004901966058654</v>
      </c>
      <c r="LS21">
        <f t="shared" ca="1" si="20"/>
        <v>9.9045474434573997</v>
      </c>
      <c r="LT21">
        <f t="shared" ca="1" si="20"/>
        <v>9.9000920154242547</v>
      </c>
      <c r="LU21">
        <f t="shared" ca="1" si="20"/>
        <v>9.8993024563328298</v>
      </c>
      <c r="LV21">
        <f t="shared" ca="1" si="20"/>
        <v>9.9015356245199886</v>
      </c>
      <c r="LW21">
        <f t="shared" ca="1" si="20"/>
        <v>9.8972283563546455</v>
      </c>
      <c r="LX21">
        <f t="shared" ca="1" si="20"/>
        <v>9.9035612519259431</v>
      </c>
      <c r="LY21">
        <f t="shared" ca="1" si="20"/>
        <v>9.9011652171814077</v>
      </c>
      <c r="LZ21">
        <f t="shared" ca="1" si="20"/>
        <v>9.9004460189749608</v>
      </c>
      <c r="MA21">
        <f t="shared" ca="1" si="20"/>
        <v>9.9057407439994787</v>
      </c>
      <c r="MB21">
        <f t="shared" ca="1" si="20"/>
        <v>9.9005143708913863</v>
      </c>
      <c r="MC21">
        <f t="shared" ca="1" si="20"/>
        <v>9.8995903242387264</v>
      </c>
      <c r="MD21">
        <f t="shared" ca="1" si="20"/>
        <v>9.9028961306564671</v>
      </c>
      <c r="ME21">
        <f t="shared" ca="1" si="20"/>
        <v>9.9000866406000387</v>
      </c>
      <c r="MF21">
        <f t="shared" ca="1" si="20"/>
        <v>9.8984087754466721</v>
      </c>
      <c r="MG21">
        <f t="shared" ca="1" si="20"/>
        <v>9.9021475297505592</v>
      </c>
      <c r="MH21">
        <f t="shared" ca="1" si="20"/>
        <v>9.8938922364750432</v>
      </c>
      <c r="MI21">
        <f t="shared" ca="1" si="20"/>
        <v>9.9017861852074827</v>
      </c>
      <c r="MJ21">
        <f t="shared" ca="1" si="20"/>
        <v>9.8995013456116308</v>
      </c>
      <c r="MK21">
        <f t="shared" ca="1" si="20"/>
        <v>9.8979415302520835</v>
      </c>
      <c r="ML21">
        <f t="shared" ca="1" si="20"/>
        <v>9.8976421361494413</v>
      </c>
      <c r="MM21">
        <f t="shared" ca="1" si="20"/>
        <v>9.8993361567298983</v>
      </c>
      <c r="MN21">
        <f t="shared" ca="1" si="20"/>
        <v>9.8962431543896763</v>
      </c>
      <c r="MO21">
        <f t="shared" ca="1" si="20"/>
        <v>9.9016897110974345</v>
      </c>
      <c r="MP21">
        <f t="shared" ca="1" si="20"/>
        <v>9.8987434887389494</v>
      </c>
      <c r="MQ21">
        <f t="shared" ca="1" si="20"/>
        <v>9.899373293922471</v>
      </c>
      <c r="MR21">
        <f t="shared" ca="1" si="20"/>
        <v>9.9039383646481394</v>
      </c>
      <c r="MS21">
        <f t="shared" ca="1" si="20"/>
        <v>9.9036359233328266</v>
      </c>
      <c r="MT21">
        <f t="shared" ca="1" si="20"/>
        <v>9.9007713649192475</v>
      </c>
      <c r="MU21">
        <f t="shared" ca="1" si="20"/>
        <v>9.9002908221986932</v>
      </c>
      <c r="MV21">
        <f t="shared" ca="1" si="20"/>
        <v>9.8944857406545683</v>
      </c>
      <c r="MW21">
        <f t="shared" ca="1" si="20"/>
        <v>9.9025284561305646</v>
      </c>
      <c r="MX21">
        <f t="shared" ca="1" si="20"/>
        <v>9.9021296220084665</v>
      </c>
      <c r="MY21">
        <f t="shared" ca="1" si="20"/>
        <v>9.8962252368277426</v>
      </c>
      <c r="MZ21">
        <f t="shared" ca="1" si="20"/>
        <v>9.9004064675335641</v>
      </c>
      <c r="NA21">
        <f t="shared" ca="1" si="20"/>
        <v>9.8967640741269793</v>
      </c>
      <c r="NB21">
        <f t="shared" ca="1" si="20"/>
        <v>9.8964344375306954</v>
      </c>
      <c r="NC21">
        <f t="shared" ca="1" si="20"/>
        <v>9.901269673621238</v>
      </c>
      <c r="ND21">
        <f t="shared" ca="1" si="20"/>
        <v>9.9012148005504557</v>
      </c>
      <c r="NE21">
        <f t="shared" ca="1" si="20"/>
        <v>9.9013481130993988</v>
      </c>
      <c r="NF21">
        <f t="shared" ca="1" si="20"/>
        <v>9.9007578524863824</v>
      </c>
      <c r="NG21">
        <f t="shared" ca="1" si="20"/>
        <v>9.8987998050244332</v>
      </c>
      <c r="NH21">
        <f t="shared" ca="1" si="20"/>
        <v>9.8975494444259002</v>
      </c>
      <c r="NI21">
        <f t="shared" ca="1" si="20"/>
        <v>9.9004245639516295</v>
      </c>
      <c r="NJ21">
        <f t="shared" ca="1" si="20"/>
        <v>9.9017388682527958</v>
      </c>
      <c r="NK21">
        <f t="shared" ca="1" si="20"/>
        <v>9.8964700124050076</v>
      </c>
      <c r="NL21">
        <f t="shared" ca="1" si="20"/>
        <v>9.9011858979901355</v>
      </c>
      <c r="NM21">
        <f t="shared" ca="1" si="20"/>
        <v>9.8954006980719509</v>
      </c>
      <c r="NN21">
        <f t="shared" ca="1" si="20"/>
        <v>9.9014549197352597</v>
      </c>
      <c r="NO21">
        <f t="shared" ca="1" si="20"/>
        <v>9.901521607728375</v>
      </c>
      <c r="NP21">
        <f t="shared" ca="1" si="20"/>
        <v>9.9014530112411574</v>
      </c>
      <c r="NQ21">
        <f t="shared" ca="1" si="20"/>
        <v>9.8995829904924904</v>
      </c>
      <c r="NR21">
        <f t="shared" ca="1" si="20"/>
        <v>9.8994324064118562</v>
      </c>
      <c r="NS21">
        <f t="shared" ca="1" si="20"/>
        <v>9.8965694746927184</v>
      </c>
      <c r="NT21">
        <f t="shared" ca="1" si="20"/>
        <v>9.8977132402700683</v>
      </c>
      <c r="NU21">
        <f t="shared" ca="1" si="20"/>
        <v>9.9045194531603702</v>
      </c>
      <c r="NV21">
        <f t="shared" ca="1" si="20"/>
        <v>9.8984400277476592</v>
      </c>
      <c r="NW21">
        <f t="shared" ca="1" si="17"/>
        <v>9.8981842306983001</v>
      </c>
      <c r="NX21">
        <f t="shared" ca="1" si="17"/>
        <v>9.903120532403177</v>
      </c>
      <c r="NY21">
        <f t="shared" ca="1" si="17"/>
        <v>9.8974651098734761</v>
      </c>
      <c r="NZ21">
        <f t="shared" ca="1" si="17"/>
        <v>9.9007235722050044</v>
      </c>
      <c r="OA21">
        <f t="shared" ca="1" si="17"/>
        <v>9.9009476437645816</v>
      </c>
      <c r="OB21">
        <f t="shared" ca="1" si="17"/>
        <v>9.8952223713620491</v>
      </c>
      <c r="OC21">
        <f t="shared" ca="1" si="17"/>
        <v>9.9001844661813454</v>
      </c>
      <c r="OD21">
        <f t="shared" ca="1" si="17"/>
        <v>9.8926875844207292</v>
      </c>
      <c r="OE21">
        <f t="shared" ca="1" si="17"/>
        <v>9.9009125658660793</v>
      </c>
      <c r="OF21">
        <f t="shared" ca="1" si="17"/>
        <v>9.9016032842370425</v>
      </c>
      <c r="OG21">
        <f t="shared" ca="1" si="17"/>
        <v>9.9012829021338469</v>
      </c>
      <c r="OH21">
        <f t="shared" ca="1" si="17"/>
        <v>9.9032312358730099</v>
      </c>
      <c r="OI21">
        <f t="shared" ca="1" si="17"/>
        <v>9.9011607269406205</v>
      </c>
      <c r="OJ21">
        <f t="shared" ca="1" si="17"/>
        <v>9.8957101515053143</v>
      </c>
      <c r="OK21">
        <f t="shared" ca="1" si="17"/>
        <v>9.899183037679629</v>
      </c>
      <c r="OL21">
        <f t="shared" ca="1" si="17"/>
        <v>9.894178739814965</v>
      </c>
      <c r="OM21">
        <f t="shared" ca="1" si="17"/>
        <v>9.8952572023191419</v>
      </c>
      <c r="ON21">
        <f t="shared" ca="1" si="17"/>
        <v>9.9020636003404263</v>
      </c>
      <c r="OO21">
        <f t="shared" ca="1" si="17"/>
        <v>9.9001660974737504</v>
      </c>
      <c r="OP21">
        <f t="shared" ca="1" si="17"/>
        <v>9.9027097102273132</v>
      </c>
      <c r="OQ21">
        <f t="shared" ca="1" si="17"/>
        <v>9.9013691080050208</v>
      </c>
      <c r="OR21">
        <f t="shared" ca="1" si="17"/>
        <v>9.8999056383737738</v>
      </c>
      <c r="OS21">
        <f t="shared" ca="1" si="17"/>
        <v>9.8973393548843305</v>
      </c>
      <c r="OT21">
        <f t="shared" ca="1" si="17"/>
        <v>9.9020473420151109</v>
      </c>
      <c r="OU21">
        <f t="shared" ca="1" si="17"/>
        <v>9.8973067937006896</v>
      </c>
      <c r="OV21">
        <f t="shared" ca="1" si="17"/>
        <v>9.8987262647978937</v>
      </c>
      <c r="OW21">
        <f t="shared" ca="1" si="17"/>
        <v>9.9035120232420688</v>
      </c>
      <c r="OX21">
        <f t="shared" ca="1" si="17"/>
        <v>9.8968533211930918</v>
      </c>
      <c r="OY21">
        <f t="shared" ca="1" si="17"/>
        <v>9.8972975545614137</v>
      </c>
      <c r="OZ21">
        <f t="shared" ca="1" si="17"/>
        <v>9.9054773358475217</v>
      </c>
      <c r="PA21">
        <f t="shared" ca="1" si="17"/>
        <v>9.8954109331699485</v>
      </c>
      <c r="PB21">
        <f t="shared" ca="1" si="17"/>
        <v>9.8998094927599709</v>
      </c>
      <c r="PC21">
        <f t="shared" ca="1" si="17"/>
        <v>9.9005299044453032</v>
      </c>
      <c r="PD21">
        <f t="shared" ca="1" si="17"/>
        <v>9.8999248688227812</v>
      </c>
      <c r="PE21">
        <f t="shared" ca="1" si="17"/>
        <v>9.8955114974091831</v>
      </c>
      <c r="PF21">
        <f t="shared" ca="1" si="17"/>
        <v>9.8987403740240296</v>
      </c>
      <c r="PG21">
        <f t="shared" ca="1" si="17"/>
        <v>9.901294856411786</v>
      </c>
      <c r="PH21">
        <f t="shared" ca="1" si="17"/>
        <v>9.902602865089932</v>
      </c>
      <c r="PI21">
        <f t="shared" ca="1" si="17"/>
        <v>9.9016257580772873</v>
      </c>
      <c r="PJ21">
        <f t="shared" ca="1" si="17"/>
        <v>9.897293449704069</v>
      </c>
      <c r="PK21">
        <f t="shared" ca="1" si="17"/>
        <v>9.9019418440668083</v>
      </c>
      <c r="PL21">
        <f t="shared" ca="1" si="17"/>
        <v>9.9018871452970512</v>
      </c>
      <c r="PM21">
        <f t="shared" ca="1" si="17"/>
        <v>9.902486769601067</v>
      </c>
      <c r="PN21">
        <f t="shared" ca="1" si="17"/>
        <v>9.9026613708721953</v>
      </c>
      <c r="PO21">
        <f t="shared" ca="1" si="17"/>
        <v>9.8967219871990437</v>
      </c>
      <c r="PP21">
        <f t="shared" ca="1" si="17"/>
        <v>9.9002493556502422</v>
      </c>
      <c r="PQ21">
        <f t="shared" ca="1" si="17"/>
        <v>9.9014448840516973</v>
      </c>
      <c r="PR21">
        <f t="shared" ca="1" si="17"/>
        <v>9.8961664577954807</v>
      </c>
      <c r="PS21">
        <f t="shared" ca="1" si="17"/>
        <v>9.8998365336846312</v>
      </c>
      <c r="PT21">
        <f t="shared" ca="1" si="17"/>
        <v>9.8962846777239619</v>
      </c>
      <c r="PU21">
        <f t="shared" ca="1" si="17"/>
        <v>9.9015048148013545</v>
      </c>
      <c r="PV21">
        <f t="shared" ca="1" si="17"/>
        <v>9.9026654890778936</v>
      </c>
      <c r="PW21">
        <f t="shared" ca="1" si="17"/>
        <v>9.9027482938118041</v>
      </c>
      <c r="PX21">
        <f t="shared" ca="1" si="17"/>
        <v>9.8987355626416509</v>
      </c>
      <c r="PY21">
        <f t="shared" ca="1" si="17"/>
        <v>9.9008684346063891</v>
      </c>
      <c r="PZ21">
        <f t="shared" ca="1" si="17"/>
        <v>9.8967435564838553</v>
      </c>
      <c r="QA21">
        <f t="shared" ca="1" si="17"/>
        <v>9.8996341146335567</v>
      </c>
      <c r="QB21">
        <f t="shared" ca="1" si="17"/>
        <v>9.9021499883238207</v>
      </c>
      <c r="QC21">
        <f t="shared" ca="1" si="17"/>
        <v>9.8992137791220394</v>
      </c>
      <c r="QD21">
        <f t="shared" ca="1" si="17"/>
        <v>9.8978719506214148</v>
      </c>
      <c r="QE21">
        <f t="shared" ca="1" si="17"/>
        <v>9.9011414414526637</v>
      </c>
      <c r="QF21">
        <f t="shared" ca="1" si="17"/>
        <v>9.9005215512841271</v>
      </c>
      <c r="QG21">
        <f t="shared" ca="1" si="17"/>
        <v>9.8987396436816333</v>
      </c>
      <c r="QH21">
        <f t="shared" ca="1" si="11"/>
        <v>9.8981497816855288</v>
      </c>
      <c r="QI21">
        <f t="shared" ca="1" si="22"/>
        <v>9.897986625240252</v>
      </c>
      <c r="QJ21">
        <f t="shared" ca="1" si="22"/>
        <v>9.8997742502816344</v>
      </c>
      <c r="QK21">
        <f t="shared" ca="1" si="22"/>
        <v>9.8968520758745093</v>
      </c>
      <c r="QL21">
        <f t="shared" ca="1" si="22"/>
        <v>9.9030721179422496</v>
      </c>
      <c r="QM21">
        <f t="shared" ca="1" si="22"/>
        <v>9.9019594065703735</v>
      </c>
      <c r="QN21">
        <f t="shared" ca="1" si="22"/>
        <v>9.8986291100904022</v>
      </c>
      <c r="QO21">
        <f t="shared" ca="1" si="22"/>
        <v>9.9010918348679056</v>
      </c>
      <c r="QP21">
        <f t="shared" ca="1" si="22"/>
        <v>9.9027858745701653</v>
      </c>
      <c r="QQ21">
        <f t="shared" ca="1" si="22"/>
        <v>9.8962961494473767</v>
      </c>
      <c r="QR21">
        <f t="shared" ca="1" si="22"/>
        <v>9.8980877947709907</v>
      </c>
      <c r="QS21">
        <f t="shared" ca="1" si="22"/>
        <v>9.8978153853537716</v>
      </c>
      <c r="QT21">
        <f t="shared" ca="1" si="22"/>
        <v>9.9045093146420182</v>
      </c>
      <c r="QU21">
        <f t="shared" ca="1" si="22"/>
        <v>9.8986471005467944</v>
      </c>
      <c r="QV21">
        <f t="shared" ca="1" si="22"/>
        <v>9.9023030320613792</v>
      </c>
      <c r="QW21">
        <f t="shared" ca="1" si="22"/>
        <v>9.9003545355366036</v>
      </c>
      <c r="QX21">
        <f t="shared" ca="1" si="22"/>
        <v>9.8997247444112997</v>
      </c>
      <c r="QY21">
        <f t="shared" ca="1" si="22"/>
        <v>9.8959894909198738</v>
      </c>
      <c r="QZ21">
        <f t="shared" ca="1" si="22"/>
        <v>9.8987331852124303</v>
      </c>
      <c r="RA21">
        <f t="shared" ca="1" si="22"/>
        <v>9.8994988637805807</v>
      </c>
      <c r="RB21">
        <f t="shared" ca="1" si="22"/>
        <v>9.9031032822710365</v>
      </c>
      <c r="RC21">
        <f t="shared" ca="1" si="22"/>
        <v>9.9043050218736628</v>
      </c>
      <c r="RD21">
        <f t="shared" ca="1" si="22"/>
        <v>9.8990051682720193</v>
      </c>
      <c r="RE21">
        <f t="shared" ca="1" si="22"/>
        <v>9.8998595408275776</v>
      </c>
      <c r="RF21">
        <f t="shared" ca="1" si="22"/>
        <v>9.9045555643766985</v>
      </c>
      <c r="RG21">
        <f t="shared" ca="1" si="22"/>
        <v>9.9070277967885101</v>
      </c>
      <c r="RH21">
        <f t="shared" ca="1" si="22"/>
        <v>9.8969474679255729</v>
      </c>
      <c r="RI21">
        <f t="shared" ca="1" si="22"/>
        <v>9.903220074961105</v>
      </c>
      <c r="RJ21">
        <f t="shared" ca="1" si="22"/>
        <v>9.8986784848863447</v>
      </c>
      <c r="RK21">
        <f t="shared" ca="1" si="22"/>
        <v>9.8994620812887515</v>
      </c>
      <c r="RL21">
        <f t="shared" ca="1" si="22"/>
        <v>9.8982505255921112</v>
      </c>
      <c r="RM21">
        <f t="shared" ca="1" si="22"/>
        <v>9.9018989506259558</v>
      </c>
      <c r="RN21">
        <f t="shared" ca="1" si="22"/>
        <v>9.900894074959254</v>
      </c>
      <c r="RO21">
        <f t="shared" ca="1" si="22"/>
        <v>9.9008504816622409</v>
      </c>
      <c r="RP21">
        <f t="shared" ca="1" si="22"/>
        <v>9.900359998839658</v>
      </c>
      <c r="RQ21">
        <f t="shared" ca="1" si="22"/>
        <v>9.8992371609489584</v>
      </c>
      <c r="RR21">
        <f t="shared" ca="1" si="22"/>
        <v>9.8991858840841669</v>
      </c>
      <c r="RS21">
        <f t="shared" ca="1" si="22"/>
        <v>9.8997396898546306</v>
      </c>
      <c r="RT21">
        <f t="shared" ca="1" si="22"/>
        <v>9.8984811189871742</v>
      </c>
      <c r="RU21">
        <f t="shared" ca="1" si="22"/>
        <v>9.8980528024215673</v>
      </c>
      <c r="RV21">
        <f t="shared" ca="1" si="22"/>
        <v>9.9001610449786632</v>
      </c>
      <c r="RW21">
        <f t="shared" ca="1" si="22"/>
        <v>9.9002651902828429</v>
      </c>
      <c r="RX21">
        <f t="shared" ca="1" si="22"/>
        <v>9.897982190280322</v>
      </c>
      <c r="RY21">
        <f t="shared" ca="1" si="22"/>
        <v>9.8978972286407405</v>
      </c>
      <c r="RZ21">
        <f t="shared" ca="1" si="22"/>
        <v>9.8997624564027795</v>
      </c>
      <c r="SA21">
        <f t="shared" ca="1" si="22"/>
        <v>9.900619599756066</v>
      </c>
      <c r="SB21">
        <f t="shared" ca="1" si="22"/>
        <v>9.8990336581226757</v>
      </c>
      <c r="SC21">
        <f t="shared" ca="1" si="22"/>
        <v>9.9006386601818992</v>
      </c>
      <c r="SD21">
        <f t="shared" ca="1" si="22"/>
        <v>9.9014752308987664</v>
      </c>
      <c r="SE21">
        <f t="shared" ca="1" si="22"/>
        <v>9.8949116823548398</v>
      </c>
      <c r="SF21">
        <f t="shared" ca="1" si="22"/>
        <v>9.8976027949292114</v>
      </c>
      <c r="SG21">
        <f t="shared" ca="1" si="22"/>
        <v>9.9001564425711024</v>
      </c>
    </row>
    <row r="22" spans="1:501" x14ac:dyDescent="0.3">
      <c r="A22" s="1">
        <v>45699</v>
      </c>
      <c r="B22">
        <f t="shared" ca="1" si="13"/>
        <v>9.8699439812492393</v>
      </c>
      <c r="C22">
        <f t="shared" ca="1" si="23"/>
        <v>9.8752928589197992</v>
      </c>
      <c r="D22">
        <f t="shared" ca="1" si="23"/>
        <v>9.8723208512917164</v>
      </c>
      <c r="E22">
        <f t="shared" ca="1" si="23"/>
        <v>9.8683706134681248</v>
      </c>
      <c r="F22">
        <f t="shared" ca="1" si="23"/>
        <v>9.8649847040272398</v>
      </c>
      <c r="G22">
        <f t="shared" ca="1" si="23"/>
        <v>9.8651024167529222</v>
      </c>
      <c r="H22">
        <f t="shared" ca="1" si="23"/>
        <v>9.8686116291545165</v>
      </c>
      <c r="I22">
        <f t="shared" ca="1" si="23"/>
        <v>9.8694102220828253</v>
      </c>
      <c r="J22">
        <f t="shared" ca="1" si="23"/>
        <v>9.8765693328597823</v>
      </c>
      <c r="K22">
        <f t="shared" ca="1" si="23"/>
        <v>9.8676872721363811</v>
      </c>
      <c r="L22">
        <f t="shared" ca="1" si="23"/>
        <v>9.8671743454536944</v>
      </c>
      <c r="M22">
        <f t="shared" ca="1" si="23"/>
        <v>9.8702721938065583</v>
      </c>
      <c r="N22">
        <f t="shared" ca="1" si="23"/>
        <v>9.8711310837353263</v>
      </c>
      <c r="O22">
        <f t="shared" ca="1" si="23"/>
        <v>9.8692336833698082</v>
      </c>
      <c r="P22">
        <f t="shared" ca="1" si="23"/>
        <v>9.8720155992343326</v>
      </c>
      <c r="Q22">
        <f t="shared" ca="1" si="23"/>
        <v>9.8673946061091975</v>
      </c>
      <c r="R22">
        <f t="shared" ca="1" si="23"/>
        <v>9.8706595927634382</v>
      </c>
      <c r="S22">
        <f t="shared" ca="1" si="23"/>
        <v>9.8720135887304696</v>
      </c>
      <c r="T22">
        <f t="shared" ca="1" si="23"/>
        <v>9.8742092057357862</v>
      </c>
      <c r="U22">
        <f t="shared" ca="1" si="23"/>
        <v>9.8673992909784616</v>
      </c>
      <c r="V22">
        <f t="shared" ca="1" si="23"/>
        <v>9.8672333155945253</v>
      </c>
      <c r="W22">
        <f t="shared" ca="1" si="23"/>
        <v>9.8705295274021481</v>
      </c>
      <c r="X22">
        <f t="shared" ca="1" si="23"/>
        <v>9.8647515841227964</v>
      </c>
      <c r="Y22">
        <f t="shared" ca="1" si="23"/>
        <v>9.8660672157300606</v>
      </c>
      <c r="Z22">
        <f t="shared" ca="1" si="23"/>
        <v>9.8720134430777762</v>
      </c>
      <c r="AA22">
        <f t="shared" ca="1" si="23"/>
        <v>9.8672461940182412</v>
      </c>
      <c r="AB22">
        <f t="shared" ca="1" si="23"/>
        <v>9.8673460184956383</v>
      </c>
      <c r="AC22">
        <f t="shared" ca="1" si="23"/>
        <v>9.8692324613619551</v>
      </c>
      <c r="AD22">
        <f t="shared" ca="1" si="23"/>
        <v>9.8702989386737325</v>
      </c>
      <c r="AE22">
        <f t="shared" ca="1" si="23"/>
        <v>9.8679694273126604</v>
      </c>
      <c r="AF22">
        <f t="shared" ca="1" si="23"/>
        <v>9.8738211953729156</v>
      </c>
      <c r="AG22">
        <f t="shared" ca="1" si="23"/>
        <v>9.8716177184746741</v>
      </c>
      <c r="AH22">
        <f t="shared" ca="1" si="23"/>
        <v>9.8731563395824367</v>
      </c>
      <c r="AI22">
        <f t="shared" ca="1" si="23"/>
        <v>9.8733536362680532</v>
      </c>
      <c r="AJ22">
        <f t="shared" ca="1" si="23"/>
        <v>9.8750039647550505</v>
      </c>
      <c r="AK22">
        <f t="shared" ca="1" si="23"/>
        <v>9.8697881500433606</v>
      </c>
      <c r="AL22">
        <f t="shared" ca="1" si="23"/>
        <v>9.8694284831417303</v>
      </c>
      <c r="AM22">
        <f t="shared" ca="1" si="23"/>
        <v>9.8689507095103082</v>
      </c>
      <c r="AN22">
        <f t="shared" ca="1" si="23"/>
        <v>9.8706240200250903</v>
      </c>
      <c r="AO22">
        <f t="shared" ca="1" si="23"/>
        <v>9.8726189748141966</v>
      </c>
      <c r="AP22">
        <f t="shared" ca="1" si="23"/>
        <v>9.8699239608765001</v>
      </c>
      <c r="AQ22">
        <f t="shared" ca="1" si="23"/>
        <v>9.8723416223452247</v>
      </c>
      <c r="AR22">
        <f t="shared" ca="1" si="23"/>
        <v>9.8717414319254306</v>
      </c>
      <c r="AS22">
        <f t="shared" ca="1" si="23"/>
        <v>9.8713754975171888</v>
      </c>
      <c r="AT22">
        <f t="shared" ca="1" si="23"/>
        <v>9.8685858003539586</v>
      </c>
      <c r="AU22">
        <f t="shared" ca="1" si="23"/>
        <v>9.8689837145065802</v>
      </c>
      <c r="AV22">
        <f t="shared" ca="1" si="23"/>
        <v>9.8731629600647466</v>
      </c>
      <c r="AW22">
        <f t="shared" ca="1" si="23"/>
        <v>9.8732365788894594</v>
      </c>
      <c r="AX22">
        <f t="shared" ca="1" si="23"/>
        <v>9.8716875977501797</v>
      </c>
      <c r="AY22">
        <f t="shared" ca="1" si="23"/>
        <v>9.8676546329128918</v>
      </c>
      <c r="AZ22">
        <f t="shared" ca="1" si="23"/>
        <v>9.869514283433972</v>
      </c>
      <c r="BA22">
        <f t="shared" ca="1" si="23"/>
        <v>9.8736355430049052</v>
      </c>
      <c r="BB22">
        <f t="shared" ca="1" si="23"/>
        <v>9.8654736806059784</v>
      </c>
      <c r="BC22">
        <f t="shared" ca="1" si="23"/>
        <v>9.8661778572065781</v>
      </c>
      <c r="BD22">
        <f t="shared" ca="1" si="23"/>
        <v>9.8671676175984082</v>
      </c>
      <c r="BE22">
        <f t="shared" ca="1" si="23"/>
        <v>9.8698677870761031</v>
      </c>
      <c r="BF22">
        <f t="shared" ca="1" si="23"/>
        <v>9.871661386708185</v>
      </c>
      <c r="BG22">
        <f t="shared" ca="1" si="23"/>
        <v>9.8681114678320885</v>
      </c>
      <c r="BH22">
        <f t="shared" ca="1" si="23"/>
        <v>9.8687739374247165</v>
      </c>
      <c r="BI22">
        <f t="shared" ca="1" si="23"/>
        <v>9.8692833577593966</v>
      </c>
      <c r="BJ22">
        <f t="shared" ca="1" si="23"/>
        <v>9.8708456009669856</v>
      </c>
      <c r="BK22">
        <f t="shared" ca="1" si="23"/>
        <v>9.8698476795443053</v>
      </c>
      <c r="BL22">
        <f t="shared" ca="1" si="23"/>
        <v>9.8712280480599777</v>
      </c>
      <c r="BM22">
        <f t="shared" ca="1" si="23"/>
        <v>9.870486081035418</v>
      </c>
      <c r="BN22">
        <f t="shared" ca="1" si="23"/>
        <v>9.8718360483444183</v>
      </c>
      <c r="BO22">
        <f t="shared" ca="1" si="21"/>
        <v>9.8670923588158956</v>
      </c>
      <c r="BP22">
        <f t="shared" ca="1" si="21"/>
        <v>9.8738708738701249</v>
      </c>
      <c r="BQ22">
        <f t="shared" ca="1" si="21"/>
        <v>9.8662209819123419</v>
      </c>
      <c r="BR22">
        <f t="shared" ca="1" si="21"/>
        <v>9.8663749274494243</v>
      </c>
      <c r="BS22">
        <f t="shared" ca="1" si="21"/>
        <v>9.8679648139888592</v>
      </c>
      <c r="BT22">
        <f t="shared" ca="1" si="21"/>
        <v>9.8711182310451271</v>
      </c>
      <c r="BU22">
        <f t="shared" ca="1" si="21"/>
        <v>9.8676972383133226</v>
      </c>
      <c r="BV22">
        <f t="shared" ca="1" si="21"/>
        <v>9.8671869614483825</v>
      </c>
      <c r="BW22">
        <f t="shared" ca="1" si="21"/>
        <v>9.8715338649780566</v>
      </c>
      <c r="BX22">
        <f t="shared" ca="1" si="21"/>
        <v>9.8658916647655737</v>
      </c>
      <c r="BY22">
        <f t="shared" ca="1" si="21"/>
        <v>9.869948838381708</v>
      </c>
      <c r="BZ22">
        <f t="shared" ca="1" si="21"/>
        <v>9.8704136468839963</v>
      </c>
      <c r="CA22">
        <f t="shared" ca="1" si="21"/>
        <v>9.8698567012107361</v>
      </c>
      <c r="CB22">
        <f t="shared" ca="1" si="21"/>
        <v>9.8660738076979246</v>
      </c>
      <c r="CC22">
        <f t="shared" ca="1" si="21"/>
        <v>9.8686798776413003</v>
      </c>
      <c r="CD22">
        <f t="shared" ca="1" si="21"/>
        <v>9.8702019739851696</v>
      </c>
      <c r="CE22">
        <f t="shared" ca="1" si="21"/>
        <v>9.871292390511984</v>
      </c>
      <c r="CF22">
        <f t="shared" ca="1" si="21"/>
        <v>9.865018565409807</v>
      </c>
      <c r="CG22">
        <f t="shared" ca="1" si="21"/>
        <v>9.8700895555592414</v>
      </c>
      <c r="CH22">
        <f t="shared" ca="1" si="21"/>
        <v>9.8707668585502297</v>
      </c>
      <c r="CI22">
        <f t="shared" ca="1" si="21"/>
        <v>9.8705824085306322</v>
      </c>
      <c r="CJ22">
        <f t="shared" ca="1" si="21"/>
        <v>9.8752209080465452</v>
      </c>
      <c r="CK22">
        <f t="shared" ca="1" si="21"/>
        <v>9.8643536776072036</v>
      </c>
      <c r="CL22">
        <f t="shared" ca="1" si="21"/>
        <v>9.870450775229985</v>
      </c>
      <c r="CM22">
        <f t="shared" ca="1" si="21"/>
        <v>9.8712496303466519</v>
      </c>
      <c r="CN22">
        <f t="shared" ca="1" si="21"/>
        <v>9.8729742818695492</v>
      </c>
      <c r="CO22">
        <f t="shared" ca="1" si="21"/>
        <v>9.8724769087094995</v>
      </c>
      <c r="CP22">
        <f t="shared" ca="1" si="21"/>
        <v>9.8717928611851971</v>
      </c>
      <c r="CQ22">
        <f t="shared" ca="1" si="21"/>
        <v>9.8706727704551778</v>
      </c>
      <c r="CR22">
        <f t="shared" ca="1" si="21"/>
        <v>9.871612056650978</v>
      </c>
      <c r="CS22">
        <f t="shared" ca="1" si="21"/>
        <v>9.8701105435765921</v>
      </c>
      <c r="CT22">
        <f t="shared" ca="1" si="21"/>
        <v>9.8658927859034353</v>
      </c>
      <c r="CU22">
        <f t="shared" ca="1" si="21"/>
        <v>9.868083418544888</v>
      </c>
      <c r="CV22">
        <f t="shared" ca="1" si="21"/>
        <v>9.8732414947660008</v>
      </c>
      <c r="CW22">
        <f t="shared" ca="1" si="21"/>
        <v>9.8696067110197152</v>
      </c>
      <c r="CX22">
        <f t="shared" ca="1" si="21"/>
        <v>9.8703653957614499</v>
      </c>
      <c r="CY22">
        <f t="shared" ca="1" si="21"/>
        <v>9.8672917346632634</v>
      </c>
      <c r="CZ22">
        <f t="shared" ca="1" si="21"/>
        <v>9.8686030681899126</v>
      </c>
      <c r="DA22">
        <f t="shared" ca="1" si="21"/>
        <v>9.8700202506756067</v>
      </c>
      <c r="DB22">
        <f t="shared" ca="1" si="21"/>
        <v>9.8659079958950873</v>
      </c>
      <c r="DC22">
        <f t="shared" ca="1" si="21"/>
        <v>9.8651250207781747</v>
      </c>
      <c r="DD22">
        <f t="shared" ca="1" si="21"/>
        <v>9.8746214979808631</v>
      </c>
      <c r="DE22">
        <f t="shared" ca="1" si="21"/>
        <v>9.8721783178363776</v>
      </c>
      <c r="DF22">
        <f t="shared" ca="1" si="21"/>
        <v>9.8727914153833467</v>
      </c>
      <c r="DG22">
        <f t="shared" ca="1" si="21"/>
        <v>9.8703414069191364</v>
      </c>
      <c r="DH22">
        <f t="shared" ca="1" si="21"/>
        <v>9.8771226253527011</v>
      </c>
      <c r="DI22">
        <f t="shared" ca="1" si="21"/>
        <v>9.8706919367629151</v>
      </c>
      <c r="DJ22">
        <f t="shared" ca="1" si="21"/>
        <v>9.8722498797643308</v>
      </c>
      <c r="DK22">
        <f t="shared" ca="1" si="21"/>
        <v>9.8694931280328468</v>
      </c>
      <c r="DL22">
        <f t="shared" ca="1" si="21"/>
        <v>9.8687182921388956</v>
      </c>
      <c r="DM22">
        <f t="shared" ca="1" si="21"/>
        <v>9.868839769675203</v>
      </c>
      <c r="DN22">
        <f t="shared" ca="1" si="21"/>
        <v>9.8692343591660716</v>
      </c>
      <c r="DO22">
        <f t="shared" ca="1" si="21"/>
        <v>9.8695403918444544</v>
      </c>
      <c r="DP22">
        <f t="shared" ca="1" si="21"/>
        <v>9.8732987144577038</v>
      </c>
      <c r="DQ22">
        <f t="shared" ca="1" si="21"/>
        <v>9.871392226605872</v>
      </c>
      <c r="DR22">
        <f t="shared" ca="1" si="21"/>
        <v>9.8659802998503103</v>
      </c>
      <c r="DS22">
        <f t="shared" ca="1" si="21"/>
        <v>9.866830527205984</v>
      </c>
      <c r="DT22">
        <f t="shared" ca="1" si="21"/>
        <v>9.8723253487101434</v>
      </c>
      <c r="DU22">
        <f t="shared" ca="1" si="21"/>
        <v>9.8695566487612947</v>
      </c>
      <c r="DV22">
        <f t="shared" ca="1" si="21"/>
        <v>9.8699309419683026</v>
      </c>
      <c r="DW22">
        <f t="shared" ca="1" si="21"/>
        <v>9.8696785952978825</v>
      </c>
      <c r="DX22">
        <f t="shared" ca="1" si="21"/>
        <v>9.8704898841583599</v>
      </c>
      <c r="DY22">
        <f t="shared" ca="1" si="21"/>
        <v>9.871675441822493</v>
      </c>
      <c r="DZ22">
        <f t="shared" ca="1" si="18"/>
        <v>9.8689046257748032</v>
      </c>
      <c r="EA22">
        <f t="shared" ca="1" si="15"/>
        <v>9.8706635545580266</v>
      </c>
      <c r="EB22">
        <f t="shared" ca="1" si="15"/>
        <v>9.8721542553011545</v>
      </c>
      <c r="EC22">
        <f t="shared" ref="EC22:GN23" ca="1" si="24">$B9*EXP(($I9-($H9^2)/2)*(1/52)+$H9*SQRT(1/52)*_xlfn.NORM.INV(RAND(),0,1))</f>
        <v>9.8707815329985547</v>
      </c>
      <c r="ED22">
        <f t="shared" ca="1" si="24"/>
        <v>9.8720859641428831</v>
      </c>
      <c r="EE22">
        <f t="shared" ca="1" si="24"/>
        <v>9.8718502234862466</v>
      </c>
      <c r="EF22">
        <f t="shared" ca="1" si="24"/>
        <v>9.870474515332937</v>
      </c>
      <c r="EG22">
        <f t="shared" ca="1" si="24"/>
        <v>9.8715593108136535</v>
      </c>
      <c r="EH22">
        <f t="shared" ca="1" si="24"/>
        <v>9.8674659692538764</v>
      </c>
      <c r="EI22">
        <f t="shared" ca="1" si="24"/>
        <v>9.869195410994827</v>
      </c>
      <c r="EJ22">
        <f t="shared" ca="1" si="24"/>
        <v>9.8720080253634457</v>
      </c>
      <c r="EK22">
        <f t="shared" ca="1" si="24"/>
        <v>9.87119023146915</v>
      </c>
      <c r="EL22">
        <f t="shared" ca="1" si="24"/>
        <v>9.8658062936601567</v>
      </c>
      <c r="EM22">
        <f t="shared" ca="1" si="24"/>
        <v>9.8652581066517389</v>
      </c>
      <c r="EN22">
        <f t="shared" ca="1" si="24"/>
        <v>9.867347774436114</v>
      </c>
      <c r="EO22">
        <f t="shared" ca="1" si="24"/>
        <v>9.8703110447681635</v>
      </c>
      <c r="EP22">
        <f t="shared" ca="1" si="24"/>
        <v>9.8712128205398297</v>
      </c>
      <c r="EQ22">
        <f t="shared" ca="1" si="24"/>
        <v>9.8695655555453179</v>
      </c>
      <c r="ER22">
        <f t="shared" ca="1" si="24"/>
        <v>9.8733141751856941</v>
      </c>
      <c r="ES22">
        <f t="shared" ca="1" si="24"/>
        <v>9.8694138910965883</v>
      </c>
      <c r="ET22">
        <f t="shared" ca="1" si="24"/>
        <v>9.8684101053940836</v>
      </c>
      <c r="EU22">
        <f t="shared" ca="1" si="24"/>
        <v>9.867706206294347</v>
      </c>
      <c r="EV22">
        <f t="shared" ca="1" si="24"/>
        <v>9.8695459340153828</v>
      </c>
      <c r="EW22">
        <f t="shared" ca="1" si="24"/>
        <v>9.8662202288491372</v>
      </c>
      <c r="EX22">
        <f t="shared" ca="1" si="24"/>
        <v>9.8715159503425323</v>
      </c>
      <c r="EY22">
        <f t="shared" ca="1" si="24"/>
        <v>9.8701232114935156</v>
      </c>
      <c r="EZ22">
        <f t="shared" ca="1" si="24"/>
        <v>9.8748463489354723</v>
      </c>
      <c r="FA22">
        <f t="shared" ca="1" si="24"/>
        <v>9.8686838478243981</v>
      </c>
      <c r="FB22">
        <f t="shared" ca="1" si="24"/>
        <v>9.8708971041731406</v>
      </c>
      <c r="FC22">
        <f t="shared" ca="1" si="24"/>
        <v>9.8661417824570705</v>
      </c>
      <c r="FD22">
        <f t="shared" ca="1" si="24"/>
        <v>9.8709366163241938</v>
      </c>
      <c r="FE22">
        <f t="shared" ca="1" si="24"/>
        <v>9.8682609962648868</v>
      </c>
      <c r="FF22">
        <f t="shared" ca="1" si="24"/>
        <v>9.8692513366448935</v>
      </c>
      <c r="FG22">
        <f t="shared" ca="1" si="24"/>
        <v>9.872778900617611</v>
      </c>
      <c r="FH22">
        <f t="shared" ca="1" si="24"/>
        <v>9.8723837662956662</v>
      </c>
      <c r="FI22">
        <f t="shared" ca="1" si="24"/>
        <v>9.8719463911736405</v>
      </c>
      <c r="FJ22">
        <f t="shared" ca="1" si="24"/>
        <v>9.8733669333778167</v>
      </c>
      <c r="FK22">
        <f t="shared" ca="1" si="24"/>
        <v>9.8728535976064258</v>
      </c>
      <c r="FL22">
        <f t="shared" ca="1" si="24"/>
        <v>9.8647226523465381</v>
      </c>
      <c r="FM22">
        <f t="shared" ca="1" si="24"/>
        <v>9.8691713261945306</v>
      </c>
      <c r="FN22">
        <f t="shared" ca="1" si="24"/>
        <v>9.8677626287992801</v>
      </c>
      <c r="FO22">
        <f t="shared" ca="1" si="24"/>
        <v>9.8704643597927006</v>
      </c>
      <c r="FP22">
        <f t="shared" ca="1" si="24"/>
        <v>9.8703191752582544</v>
      </c>
      <c r="FQ22">
        <f t="shared" ca="1" si="24"/>
        <v>9.8693124020260328</v>
      </c>
      <c r="FR22">
        <f t="shared" ca="1" si="24"/>
        <v>9.8691615401020787</v>
      </c>
      <c r="FS22">
        <f t="shared" ca="1" si="24"/>
        <v>9.8669559495068011</v>
      </c>
      <c r="FT22">
        <f t="shared" ca="1" si="24"/>
        <v>9.8733798644980411</v>
      </c>
      <c r="FU22">
        <f t="shared" ca="1" si="24"/>
        <v>9.8734130910262081</v>
      </c>
      <c r="FV22">
        <f t="shared" ca="1" si="24"/>
        <v>9.8680935817744508</v>
      </c>
      <c r="FW22">
        <f t="shared" ca="1" si="24"/>
        <v>9.8737195757967857</v>
      </c>
      <c r="FX22">
        <f t="shared" ca="1" si="24"/>
        <v>9.8694186653130878</v>
      </c>
      <c r="FY22">
        <f t="shared" ca="1" si="24"/>
        <v>9.8680748176124524</v>
      </c>
      <c r="FZ22">
        <f t="shared" ca="1" si="24"/>
        <v>9.8709286233371429</v>
      </c>
      <c r="GA22">
        <f t="shared" ca="1" si="24"/>
        <v>9.8704593212100722</v>
      </c>
      <c r="GB22">
        <f t="shared" ca="1" si="24"/>
        <v>9.8676398183337053</v>
      </c>
      <c r="GC22">
        <f t="shared" ca="1" si="24"/>
        <v>9.8717273804458525</v>
      </c>
      <c r="GD22">
        <f t="shared" ca="1" si="24"/>
        <v>9.8691024472822217</v>
      </c>
      <c r="GE22">
        <f t="shared" ca="1" si="24"/>
        <v>9.8689852312893951</v>
      </c>
      <c r="GF22">
        <f t="shared" ca="1" si="24"/>
        <v>9.8705046380450057</v>
      </c>
      <c r="GG22">
        <f t="shared" ca="1" si="24"/>
        <v>9.8681651026535864</v>
      </c>
      <c r="GH22">
        <f t="shared" ca="1" si="24"/>
        <v>9.8722620904172356</v>
      </c>
      <c r="GI22">
        <f t="shared" ca="1" si="24"/>
        <v>9.8689008802095071</v>
      </c>
      <c r="GJ22">
        <f t="shared" ca="1" si="24"/>
        <v>9.8688245043114673</v>
      </c>
      <c r="GK22">
        <f t="shared" ca="1" si="24"/>
        <v>9.8665961720433852</v>
      </c>
      <c r="GL22">
        <f t="shared" ca="1" si="24"/>
        <v>9.866358593463854</v>
      </c>
      <c r="GM22">
        <f t="shared" ca="1" si="24"/>
        <v>9.8717102434339274</v>
      </c>
      <c r="GN22">
        <f t="shared" ca="1" si="24"/>
        <v>9.8681869169106058</v>
      </c>
      <c r="GO22">
        <f t="shared" ca="1" si="19"/>
        <v>9.8690922173975455</v>
      </c>
      <c r="GP22">
        <f t="shared" ca="1" si="19"/>
        <v>9.8737413241965388</v>
      </c>
      <c r="GQ22">
        <f t="shared" ca="1" si="19"/>
        <v>9.8732192646941339</v>
      </c>
      <c r="GR22">
        <f t="shared" ca="1" si="19"/>
        <v>9.8628093595047535</v>
      </c>
      <c r="GS22">
        <f t="shared" ca="1" si="19"/>
        <v>9.8679147290461522</v>
      </c>
      <c r="GT22">
        <f t="shared" ca="1" si="19"/>
        <v>9.8690949014971601</v>
      </c>
      <c r="GU22">
        <f t="shared" ca="1" si="19"/>
        <v>9.870676000333571</v>
      </c>
      <c r="GV22">
        <f t="shared" ca="1" si="19"/>
        <v>9.870346705569375</v>
      </c>
      <c r="GW22">
        <f t="shared" ca="1" si="19"/>
        <v>9.8734258487682958</v>
      </c>
      <c r="GX22">
        <f t="shared" ca="1" si="19"/>
        <v>9.8718722058533572</v>
      </c>
      <c r="GY22">
        <f t="shared" ca="1" si="19"/>
        <v>9.8649557803279162</v>
      </c>
      <c r="GZ22">
        <f t="shared" ca="1" si="19"/>
        <v>9.8709702185774137</v>
      </c>
      <c r="HA22">
        <f t="shared" ca="1" si="19"/>
        <v>9.872553016642895</v>
      </c>
      <c r="HB22">
        <f t="shared" ca="1" si="19"/>
        <v>9.8709359157940888</v>
      </c>
      <c r="HC22">
        <f t="shared" ca="1" si="19"/>
        <v>9.8739728399746198</v>
      </c>
      <c r="HD22">
        <f t="shared" ca="1" si="19"/>
        <v>9.86944605206528</v>
      </c>
      <c r="HE22">
        <f t="shared" ca="1" si="19"/>
        <v>9.8700894719007479</v>
      </c>
      <c r="HF22">
        <f t="shared" ca="1" si="19"/>
        <v>9.8737777115928811</v>
      </c>
      <c r="HG22">
        <f t="shared" ca="1" si="19"/>
        <v>9.8634061446688204</v>
      </c>
      <c r="HH22">
        <f t="shared" ca="1" si="19"/>
        <v>9.874249742978046</v>
      </c>
      <c r="HI22">
        <f t="shared" ca="1" si="19"/>
        <v>9.8699365086164423</v>
      </c>
      <c r="HJ22">
        <f t="shared" ca="1" si="19"/>
        <v>9.8694753650138196</v>
      </c>
      <c r="HK22">
        <f t="shared" ca="1" si="19"/>
        <v>9.8714657850617265</v>
      </c>
      <c r="HL22">
        <f t="shared" ca="1" si="19"/>
        <v>9.8675246259817353</v>
      </c>
      <c r="HM22">
        <f t="shared" ca="1" si="19"/>
        <v>9.87348620433084</v>
      </c>
      <c r="HN22">
        <f t="shared" ca="1" si="19"/>
        <v>9.8696690647969714</v>
      </c>
      <c r="HO22">
        <f t="shared" ca="1" si="19"/>
        <v>9.8674940105422824</v>
      </c>
      <c r="HP22">
        <f t="shared" ca="1" si="19"/>
        <v>9.868837731304243</v>
      </c>
      <c r="HQ22">
        <f t="shared" ca="1" si="19"/>
        <v>9.8719492982650969</v>
      </c>
      <c r="HR22">
        <f t="shared" ca="1" si="19"/>
        <v>9.8696299560012921</v>
      </c>
      <c r="HS22">
        <f t="shared" ca="1" si="19"/>
        <v>9.8658966666360044</v>
      </c>
      <c r="HT22">
        <f t="shared" ca="1" si="19"/>
        <v>9.869521968352112</v>
      </c>
      <c r="HU22">
        <f t="shared" ca="1" si="19"/>
        <v>9.863706580950895</v>
      </c>
      <c r="HV22">
        <f t="shared" ca="1" si="19"/>
        <v>9.8710245839912609</v>
      </c>
      <c r="HW22">
        <f t="shared" ca="1" si="19"/>
        <v>9.8665423317781435</v>
      </c>
      <c r="HX22">
        <f t="shared" ca="1" si="19"/>
        <v>9.8647615836581668</v>
      </c>
      <c r="HY22">
        <f t="shared" ca="1" si="19"/>
        <v>9.8717531537060346</v>
      </c>
      <c r="HZ22">
        <f t="shared" ca="1" si="19"/>
        <v>9.8697482430264518</v>
      </c>
      <c r="IA22">
        <f t="shared" ca="1" si="19"/>
        <v>9.8670930239570751</v>
      </c>
      <c r="IB22">
        <f t="shared" ca="1" si="19"/>
        <v>9.8707597591387923</v>
      </c>
      <c r="IC22">
        <f t="shared" ca="1" si="19"/>
        <v>9.8701998874942696</v>
      </c>
      <c r="ID22">
        <f t="shared" ca="1" si="19"/>
        <v>9.8686130933130034</v>
      </c>
      <c r="IE22">
        <f t="shared" ca="1" si="19"/>
        <v>9.8707856873498994</v>
      </c>
      <c r="IF22">
        <f t="shared" ca="1" si="19"/>
        <v>9.86760149266666</v>
      </c>
      <c r="IG22">
        <f t="shared" ca="1" si="19"/>
        <v>9.8666499451192031</v>
      </c>
      <c r="IH22">
        <f t="shared" ca="1" si="19"/>
        <v>9.8744601243907457</v>
      </c>
      <c r="II22">
        <f t="shared" ca="1" si="19"/>
        <v>9.8675335933253905</v>
      </c>
      <c r="IJ22">
        <f t="shared" ca="1" si="19"/>
        <v>9.86572214311993</v>
      </c>
      <c r="IK22">
        <f t="shared" ca="1" si="19"/>
        <v>9.8666650930966195</v>
      </c>
      <c r="IL22">
        <f t="shared" ca="1" si="19"/>
        <v>9.8687183560618887</v>
      </c>
      <c r="IM22">
        <f t="shared" ca="1" si="19"/>
        <v>9.868096719254158</v>
      </c>
      <c r="IN22">
        <f t="shared" ca="1" si="19"/>
        <v>9.870532168896812</v>
      </c>
      <c r="IO22">
        <f t="shared" ca="1" si="19"/>
        <v>9.8652539400362986</v>
      </c>
      <c r="IP22">
        <f t="shared" ca="1" si="19"/>
        <v>9.8733372389004774</v>
      </c>
      <c r="IQ22">
        <f t="shared" ca="1" si="19"/>
        <v>9.872830701601643</v>
      </c>
      <c r="IR22">
        <f t="shared" ca="1" si="19"/>
        <v>9.8679410625012309</v>
      </c>
      <c r="IS22">
        <f t="shared" ca="1" si="19"/>
        <v>9.868649983286744</v>
      </c>
      <c r="IT22">
        <f t="shared" ca="1" si="19"/>
        <v>9.8693714633518557</v>
      </c>
      <c r="IU22">
        <f t="shared" ca="1" si="19"/>
        <v>9.8674936615155033</v>
      </c>
      <c r="IV22">
        <f t="shared" ca="1" si="19"/>
        <v>9.868671208275293</v>
      </c>
      <c r="IW22">
        <f t="shared" ca="1" si="19"/>
        <v>9.8718654967757686</v>
      </c>
      <c r="IX22">
        <f t="shared" ca="1" si="19"/>
        <v>9.8650674789509747</v>
      </c>
      <c r="IY22">
        <f t="shared" ca="1" si="16"/>
        <v>9.872213559575604</v>
      </c>
      <c r="IZ22">
        <f t="shared" ca="1" si="16"/>
        <v>9.8664099851546023</v>
      </c>
      <c r="JA22">
        <f t="shared" ref="JA22:LL23" ca="1" si="25">$B9*EXP(($I9-($H9^2)/2)*(1/52)+$H9*SQRT(1/52)*_xlfn.NORM.INV(RAND(),0,1))</f>
        <v>9.8654809777438217</v>
      </c>
      <c r="JB22">
        <f t="shared" ca="1" si="25"/>
        <v>9.8697841406125519</v>
      </c>
      <c r="JC22">
        <f t="shared" ca="1" si="25"/>
        <v>9.8745795920882102</v>
      </c>
      <c r="JD22">
        <f t="shared" ca="1" si="25"/>
        <v>9.8695512223021638</v>
      </c>
      <c r="JE22">
        <f t="shared" ca="1" si="25"/>
        <v>9.8680756106544312</v>
      </c>
      <c r="JF22">
        <f t="shared" ca="1" si="25"/>
        <v>9.87034065432616</v>
      </c>
      <c r="JG22">
        <f t="shared" ca="1" si="25"/>
        <v>9.8747173088880711</v>
      </c>
      <c r="JH22">
        <f t="shared" ca="1" si="25"/>
        <v>9.8697314905675526</v>
      </c>
      <c r="JI22">
        <f t="shared" ca="1" si="25"/>
        <v>9.8694706444508267</v>
      </c>
      <c r="JJ22">
        <f t="shared" ca="1" si="25"/>
        <v>9.8676994976415209</v>
      </c>
      <c r="JK22">
        <f t="shared" ca="1" si="25"/>
        <v>9.8688697166808552</v>
      </c>
      <c r="JL22">
        <f t="shared" ca="1" si="25"/>
        <v>9.865829514903119</v>
      </c>
      <c r="JM22">
        <f t="shared" ca="1" si="25"/>
        <v>9.8730299635108096</v>
      </c>
      <c r="JN22">
        <f t="shared" ca="1" si="25"/>
        <v>9.8685936660405229</v>
      </c>
      <c r="JO22">
        <f t="shared" ca="1" si="25"/>
        <v>9.8723487958917957</v>
      </c>
      <c r="JP22">
        <f t="shared" ca="1" si="25"/>
        <v>9.8696451113405885</v>
      </c>
      <c r="JQ22">
        <f t="shared" ca="1" si="25"/>
        <v>9.8657032743405395</v>
      </c>
      <c r="JR22">
        <f t="shared" ca="1" si="25"/>
        <v>9.8695460179158676</v>
      </c>
      <c r="JS22">
        <f t="shared" ca="1" si="25"/>
        <v>9.8704347694871455</v>
      </c>
      <c r="JT22">
        <f t="shared" ca="1" si="25"/>
        <v>9.8673293947164051</v>
      </c>
      <c r="JU22">
        <f t="shared" ca="1" si="25"/>
        <v>9.8679688157885526</v>
      </c>
      <c r="JV22">
        <f t="shared" ca="1" si="25"/>
        <v>9.8713550588981942</v>
      </c>
      <c r="JW22">
        <f t="shared" ca="1" si="25"/>
        <v>9.8699732047044932</v>
      </c>
      <c r="JX22">
        <f t="shared" ca="1" si="25"/>
        <v>9.8705747709787381</v>
      </c>
      <c r="JY22">
        <f t="shared" ca="1" si="25"/>
        <v>9.8697635298966802</v>
      </c>
      <c r="JZ22">
        <f t="shared" ca="1" si="25"/>
        <v>9.8644423575247142</v>
      </c>
      <c r="KA22">
        <f t="shared" ca="1" si="25"/>
        <v>9.8630054055954961</v>
      </c>
      <c r="KB22">
        <f t="shared" ca="1" si="25"/>
        <v>9.8695061263427917</v>
      </c>
      <c r="KC22">
        <f t="shared" ca="1" si="25"/>
        <v>9.8664145592164303</v>
      </c>
      <c r="KD22">
        <f t="shared" ca="1" si="25"/>
        <v>9.8699796626966485</v>
      </c>
      <c r="KE22">
        <f t="shared" ca="1" si="25"/>
        <v>9.8662025602061316</v>
      </c>
      <c r="KF22">
        <f t="shared" ca="1" si="25"/>
        <v>9.8721939928990992</v>
      </c>
      <c r="KG22">
        <f t="shared" ca="1" si="25"/>
        <v>9.8699500854156899</v>
      </c>
      <c r="KH22">
        <f t="shared" ca="1" si="25"/>
        <v>9.8703027048380605</v>
      </c>
      <c r="KI22">
        <f t="shared" ca="1" si="25"/>
        <v>9.8690245657789557</v>
      </c>
      <c r="KJ22">
        <f t="shared" ca="1" si="25"/>
        <v>9.8690532110212477</v>
      </c>
      <c r="KK22">
        <f t="shared" ca="1" si="25"/>
        <v>9.8683137085520585</v>
      </c>
      <c r="KL22">
        <f t="shared" ca="1" si="25"/>
        <v>9.8702362081965749</v>
      </c>
      <c r="KM22">
        <f t="shared" ca="1" si="25"/>
        <v>9.8698366345220503</v>
      </c>
      <c r="KN22">
        <f t="shared" ca="1" si="25"/>
        <v>9.8674048057729991</v>
      </c>
      <c r="KO22">
        <f t="shared" ca="1" si="25"/>
        <v>9.8706886756355381</v>
      </c>
      <c r="KP22">
        <f t="shared" ca="1" si="25"/>
        <v>9.8704227384882746</v>
      </c>
      <c r="KQ22">
        <f t="shared" ca="1" si="25"/>
        <v>9.8709172273812982</v>
      </c>
      <c r="KR22">
        <f t="shared" ca="1" si="25"/>
        <v>9.8760812923652601</v>
      </c>
      <c r="KS22">
        <f t="shared" ca="1" si="25"/>
        <v>9.8696318152621814</v>
      </c>
      <c r="KT22">
        <f t="shared" ca="1" si="25"/>
        <v>9.8731166739822225</v>
      </c>
      <c r="KU22">
        <f t="shared" ca="1" si="25"/>
        <v>9.8752103178466886</v>
      </c>
      <c r="KV22">
        <f t="shared" ca="1" si="25"/>
        <v>9.8644837224827615</v>
      </c>
      <c r="KW22">
        <f t="shared" ca="1" si="25"/>
        <v>9.868792261729034</v>
      </c>
      <c r="KX22">
        <f t="shared" ca="1" si="25"/>
        <v>9.8701841284825207</v>
      </c>
      <c r="KY22">
        <f t="shared" ca="1" si="25"/>
        <v>9.8716144392461374</v>
      </c>
      <c r="KZ22">
        <f t="shared" ca="1" si="25"/>
        <v>9.8722673748658032</v>
      </c>
      <c r="LA22">
        <f t="shared" ca="1" si="25"/>
        <v>9.8686451470305485</v>
      </c>
      <c r="LB22">
        <f t="shared" ca="1" si="25"/>
        <v>9.8686233214588661</v>
      </c>
      <c r="LC22">
        <f t="shared" ca="1" si="25"/>
        <v>9.8632033367252312</v>
      </c>
      <c r="LD22">
        <f t="shared" ca="1" si="25"/>
        <v>9.8630923756911972</v>
      </c>
      <c r="LE22">
        <f t="shared" ca="1" si="25"/>
        <v>9.8685524092968073</v>
      </c>
      <c r="LF22">
        <f t="shared" ca="1" si="25"/>
        <v>9.8689907726721859</v>
      </c>
      <c r="LG22">
        <f t="shared" ca="1" si="25"/>
        <v>9.8694274563435904</v>
      </c>
      <c r="LH22">
        <f t="shared" ca="1" si="25"/>
        <v>9.868477035662087</v>
      </c>
      <c r="LI22">
        <f t="shared" ca="1" si="25"/>
        <v>9.8684634367602406</v>
      </c>
      <c r="LJ22">
        <f t="shared" ca="1" si="25"/>
        <v>9.8699794782597614</v>
      </c>
      <c r="LK22">
        <f t="shared" ca="1" si="25"/>
        <v>9.8705278551084152</v>
      </c>
      <c r="LL22">
        <f t="shared" ca="1" si="25"/>
        <v>9.8678163272629025</v>
      </c>
      <c r="LM22">
        <f t="shared" ca="1" si="20"/>
        <v>9.8660986416940535</v>
      </c>
      <c r="LN22">
        <f t="shared" ca="1" si="20"/>
        <v>9.8684819627420222</v>
      </c>
      <c r="LO22">
        <f t="shared" ca="1" si="20"/>
        <v>9.8697859827960635</v>
      </c>
      <c r="LP22">
        <f t="shared" ca="1" si="20"/>
        <v>9.8698029052752201</v>
      </c>
      <c r="LQ22">
        <f t="shared" ca="1" si="20"/>
        <v>9.8722285589938839</v>
      </c>
      <c r="LR22">
        <f t="shared" ca="1" si="20"/>
        <v>9.8678616113903264</v>
      </c>
      <c r="LS22">
        <f t="shared" ca="1" si="20"/>
        <v>9.8723153895195317</v>
      </c>
      <c r="LT22">
        <f t="shared" ca="1" si="20"/>
        <v>9.870558340024683</v>
      </c>
      <c r="LU22">
        <f t="shared" ca="1" si="20"/>
        <v>9.8702762935942356</v>
      </c>
      <c r="LV22">
        <f t="shared" ca="1" si="20"/>
        <v>9.8687010933303565</v>
      </c>
      <c r="LW22">
        <f t="shared" ca="1" si="20"/>
        <v>9.8716668994386083</v>
      </c>
      <c r="LX22">
        <f t="shared" ca="1" si="20"/>
        <v>9.8670689439995645</v>
      </c>
      <c r="LY22">
        <f t="shared" ca="1" si="20"/>
        <v>9.8672636203763968</v>
      </c>
      <c r="LZ22">
        <f t="shared" ca="1" si="20"/>
        <v>9.869216682989844</v>
      </c>
      <c r="MA22">
        <f t="shared" ca="1" si="20"/>
        <v>9.8685452765591215</v>
      </c>
      <c r="MB22">
        <f t="shared" ca="1" si="20"/>
        <v>9.8673904676261177</v>
      </c>
      <c r="MC22">
        <f t="shared" ca="1" si="20"/>
        <v>9.8683580484556135</v>
      </c>
      <c r="MD22">
        <f t="shared" ca="1" si="20"/>
        <v>9.8707661510173441</v>
      </c>
      <c r="ME22">
        <f t="shared" ca="1" si="20"/>
        <v>9.8739471785683897</v>
      </c>
      <c r="MF22">
        <f t="shared" ca="1" si="20"/>
        <v>9.8709499405571339</v>
      </c>
      <c r="MG22">
        <f t="shared" ca="1" si="20"/>
        <v>9.8672512738915579</v>
      </c>
      <c r="MH22">
        <f t="shared" ca="1" si="20"/>
        <v>9.8647274085293706</v>
      </c>
      <c r="MI22">
        <f t="shared" ca="1" si="20"/>
        <v>9.8715062885956755</v>
      </c>
      <c r="MJ22">
        <f t="shared" ca="1" si="20"/>
        <v>9.8699807683306453</v>
      </c>
      <c r="MK22">
        <f t="shared" ca="1" si="20"/>
        <v>9.867560227219462</v>
      </c>
      <c r="ML22">
        <f t="shared" ca="1" si="20"/>
        <v>9.8687842700266408</v>
      </c>
      <c r="MM22">
        <f t="shared" ca="1" si="20"/>
        <v>9.8659351453894537</v>
      </c>
      <c r="MN22">
        <f t="shared" ca="1" si="20"/>
        <v>9.8717301023767963</v>
      </c>
      <c r="MO22">
        <f t="shared" ca="1" si="20"/>
        <v>9.8717923001602887</v>
      </c>
      <c r="MP22">
        <f t="shared" ca="1" si="20"/>
        <v>9.8668242497222369</v>
      </c>
      <c r="MQ22">
        <f t="shared" ca="1" si="20"/>
        <v>9.8729145499645057</v>
      </c>
      <c r="MR22">
        <f t="shared" ca="1" si="20"/>
        <v>9.8706056544481164</v>
      </c>
      <c r="MS22">
        <f t="shared" ca="1" si="20"/>
        <v>9.8714042010737142</v>
      </c>
      <c r="MT22">
        <f t="shared" ca="1" si="20"/>
        <v>9.8692261196950746</v>
      </c>
      <c r="MU22">
        <f t="shared" ca="1" si="20"/>
        <v>9.8712258859842983</v>
      </c>
      <c r="MV22">
        <f t="shared" ca="1" si="20"/>
        <v>9.8676445363970355</v>
      </c>
      <c r="MW22">
        <f t="shared" ca="1" si="20"/>
        <v>9.8697120679762609</v>
      </c>
      <c r="MX22">
        <f t="shared" ca="1" si="20"/>
        <v>9.8694095278840539</v>
      </c>
      <c r="MY22">
        <f t="shared" ca="1" si="20"/>
        <v>9.8709155382979397</v>
      </c>
      <c r="MZ22">
        <f t="shared" ca="1" si="20"/>
        <v>9.8713232102130455</v>
      </c>
      <c r="NA22">
        <f t="shared" ca="1" si="20"/>
        <v>9.8708529053465384</v>
      </c>
      <c r="NB22">
        <f t="shared" ca="1" si="20"/>
        <v>9.8735005328764149</v>
      </c>
      <c r="NC22">
        <f t="shared" ca="1" si="20"/>
        <v>9.8682761024883963</v>
      </c>
      <c r="ND22">
        <f t="shared" ca="1" si="20"/>
        <v>9.8680878019311322</v>
      </c>
      <c r="NE22">
        <f t="shared" ca="1" si="20"/>
        <v>9.8682160345380616</v>
      </c>
      <c r="NF22">
        <f t="shared" ca="1" si="20"/>
        <v>9.8714179386389684</v>
      </c>
      <c r="NG22">
        <f t="shared" ca="1" si="20"/>
        <v>9.8695339530667852</v>
      </c>
      <c r="NH22">
        <f t="shared" ca="1" si="20"/>
        <v>9.8698579777537692</v>
      </c>
      <c r="NI22">
        <f t="shared" ca="1" si="20"/>
        <v>9.8678318836757537</v>
      </c>
      <c r="NJ22">
        <f t="shared" ca="1" si="20"/>
        <v>9.8721337886016549</v>
      </c>
      <c r="NK22">
        <f t="shared" ca="1" si="20"/>
        <v>9.8692450347177161</v>
      </c>
      <c r="NL22">
        <f t="shared" ca="1" si="20"/>
        <v>9.8689467864751954</v>
      </c>
      <c r="NM22">
        <f t="shared" ca="1" si="20"/>
        <v>9.8738039448657755</v>
      </c>
      <c r="NN22">
        <f t="shared" ca="1" si="20"/>
        <v>9.8680312460268969</v>
      </c>
      <c r="NO22">
        <f t="shared" ca="1" si="20"/>
        <v>9.8718460024131627</v>
      </c>
      <c r="NP22">
        <f t="shared" ca="1" si="20"/>
        <v>9.8715197266641503</v>
      </c>
      <c r="NQ22">
        <f t="shared" ca="1" si="20"/>
        <v>9.8708675398875485</v>
      </c>
      <c r="NR22">
        <f t="shared" ca="1" si="20"/>
        <v>9.8725322330739331</v>
      </c>
      <c r="NS22">
        <f t="shared" ca="1" si="20"/>
        <v>9.8734628937465221</v>
      </c>
      <c r="NT22">
        <f t="shared" ca="1" si="20"/>
        <v>9.8659829460197841</v>
      </c>
      <c r="NU22">
        <f t="shared" ca="1" si="20"/>
        <v>9.8697490038625251</v>
      </c>
      <c r="NV22">
        <f t="shared" ca="1" si="20"/>
        <v>9.8676299354940351</v>
      </c>
      <c r="NW22">
        <f t="shared" ca="1" si="17"/>
        <v>9.8669747384993336</v>
      </c>
      <c r="NX22">
        <f t="shared" ca="1" si="17"/>
        <v>9.8670100535509278</v>
      </c>
      <c r="NY22">
        <f t="shared" ref="NY22:QJ23" ca="1" si="26">$B9*EXP(($I9-($H9^2)/2)*(1/52)+$H9*SQRT(1/52)*_xlfn.NORM.INV(RAND(),0,1))</f>
        <v>9.8697200972611103</v>
      </c>
      <c r="NZ22">
        <f t="shared" ca="1" si="26"/>
        <v>9.8701341804993703</v>
      </c>
      <c r="OA22">
        <f t="shared" ca="1" si="26"/>
        <v>9.8732010934863066</v>
      </c>
      <c r="OB22">
        <f t="shared" ca="1" si="26"/>
        <v>9.872996021265001</v>
      </c>
      <c r="OC22">
        <f t="shared" ca="1" si="26"/>
        <v>9.866056066543484</v>
      </c>
      <c r="OD22">
        <f t="shared" ca="1" si="26"/>
        <v>9.8708893246427039</v>
      </c>
      <c r="OE22">
        <f t="shared" ca="1" si="26"/>
        <v>9.8661846573556389</v>
      </c>
      <c r="OF22">
        <f t="shared" ca="1" si="26"/>
        <v>9.8700204318338738</v>
      </c>
      <c r="OG22">
        <f t="shared" ca="1" si="26"/>
        <v>9.8672897369254446</v>
      </c>
      <c r="OH22">
        <f t="shared" ca="1" si="26"/>
        <v>9.8672083706734597</v>
      </c>
      <c r="OI22">
        <f t="shared" ca="1" si="26"/>
        <v>9.8698265106866838</v>
      </c>
      <c r="OJ22">
        <f t="shared" ca="1" si="26"/>
        <v>9.8725393672360351</v>
      </c>
      <c r="OK22">
        <f t="shared" ca="1" si="26"/>
        <v>9.8650368142645686</v>
      </c>
      <c r="OL22">
        <f t="shared" ca="1" si="26"/>
        <v>9.8619088952146754</v>
      </c>
      <c r="OM22">
        <f t="shared" ca="1" si="26"/>
        <v>9.8726602288804273</v>
      </c>
      <c r="ON22">
        <f t="shared" ca="1" si="26"/>
        <v>9.8722028176533207</v>
      </c>
      <c r="OO22">
        <f t="shared" ca="1" si="26"/>
        <v>9.8676927388351974</v>
      </c>
      <c r="OP22">
        <f t="shared" ca="1" si="26"/>
        <v>9.8680850590872566</v>
      </c>
      <c r="OQ22">
        <f t="shared" ca="1" si="26"/>
        <v>9.872657936757772</v>
      </c>
      <c r="OR22">
        <f t="shared" ca="1" si="26"/>
        <v>9.8691676950831049</v>
      </c>
      <c r="OS22">
        <f t="shared" ca="1" si="26"/>
        <v>9.8708352247732574</v>
      </c>
      <c r="OT22">
        <f t="shared" ca="1" si="26"/>
        <v>9.8710669330514733</v>
      </c>
      <c r="OU22">
        <f t="shared" ca="1" si="26"/>
        <v>9.8651516405188051</v>
      </c>
      <c r="OV22">
        <f t="shared" ca="1" si="26"/>
        <v>9.8703732249881515</v>
      </c>
      <c r="OW22">
        <f t="shared" ca="1" si="26"/>
        <v>9.8664832645837741</v>
      </c>
      <c r="OX22">
        <f t="shared" ca="1" si="26"/>
        <v>9.8687872391429181</v>
      </c>
      <c r="OY22">
        <f t="shared" ca="1" si="26"/>
        <v>9.8680433870766144</v>
      </c>
      <c r="OZ22">
        <f t="shared" ca="1" si="26"/>
        <v>9.8681555417123814</v>
      </c>
      <c r="PA22">
        <f t="shared" ca="1" si="26"/>
        <v>9.869811638266917</v>
      </c>
      <c r="PB22">
        <f t="shared" ca="1" si="26"/>
        <v>9.8734883205303312</v>
      </c>
      <c r="PC22">
        <f t="shared" ca="1" si="26"/>
        <v>9.8725058704199071</v>
      </c>
      <c r="PD22">
        <f t="shared" ca="1" si="26"/>
        <v>9.870937481474078</v>
      </c>
      <c r="PE22">
        <f t="shared" ca="1" si="26"/>
        <v>9.8712105829209786</v>
      </c>
      <c r="PF22">
        <f t="shared" ca="1" si="26"/>
        <v>9.8699428299911016</v>
      </c>
      <c r="PG22">
        <f t="shared" ca="1" si="26"/>
        <v>9.8712900121750433</v>
      </c>
      <c r="PH22">
        <f t="shared" ca="1" si="26"/>
        <v>9.8716888887732548</v>
      </c>
      <c r="PI22">
        <f t="shared" ca="1" si="26"/>
        <v>9.8681905792529836</v>
      </c>
      <c r="PJ22">
        <f t="shared" ca="1" si="26"/>
        <v>9.8685338455863398</v>
      </c>
      <c r="PK22">
        <f t="shared" ca="1" si="26"/>
        <v>9.868111518072558</v>
      </c>
      <c r="PL22">
        <f t="shared" ca="1" si="26"/>
        <v>9.8670623106740436</v>
      </c>
      <c r="PM22">
        <f t="shared" ca="1" si="26"/>
        <v>9.8678965054313075</v>
      </c>
      <c r="PN22">
        <f t="shared" ca="1" si="26"/>
        <v>9.8707329367188166</v>
      </c>
      <c r="PO22">
        <f t="shared" ca="1" si="26"/>
        <v>9.8715278764805205</v>
      </c>
      <c r="PP22">
        <f t="shared" ca="1" si="26"/>
        <v>9.8721607643051641</v>
      </c>
      <c r="PQ22">
        <f t="shared" ca="1" si="26"/>
        <v>9.8706899966671848</v>
      </c>
      <c r="PR22">
        <f t="shared" ca="1" si="26"/>
        <v>9.8681877025143354</v>
      </c>
      <c r="PS22">
        <f t="shared" ca="1" si="26"/>
        <v>9.8692451542469488</v>
      </c>
      <c r="PT22">
        <f t="shared" ca="1" si="26"/>
        <v>9.8701068836679546</v>
      </c>
      <c r="PU22">
        <f t="shared" ca="1" si="26"/>
        <v>9.8658730624067275</v>
      </c>
      <c r="PV22">
        <f t="shared" ca="1" si="26"/>
        <v>9.8685920698777139</v>
      </c>
      <c r="PW22">
        <f t="shared" ca="1" si="26"/>
        <v>9.8679565847727471</v>
      </c>
      <c r="PX22">
        <f t="shared" ca="1" si="26"/>
        <v>9.8728641758657076</v>
      </c>
      <c r="PY22">
        <f t="shared" ca="1" si="26"/>
        <v>9.8736044494644037</v>
      </c>
      <c r="PZ22">
        <f t="shared" ca="1" si="26"/>
        <v>9.8702057166155761</v>
      </c>
      <c r="QA22">
        <f t="shared" ca="1" si="26"/>
        <v>9.8672967125555182</v>
      </c>
      <c r="QB22">
        <f t="shared" ca="1" si="26"/>
        <v>9.8701565118050727</v>
      </c>
      <c r="QC22">
        <f t="shared" ca="1" si="26"/>
        <v>9.8687256935362537</v>
      </c>
      <c r="QD22">
        <f t="shared" ca="1" si="26"/>
        <v>9.8733754130246361</v>
      </c>
      <c r="QE22">
        <f t="shared" ca="1" si="26"/>
        <v>9.8662312518245603</v>
      </c>
      <c r="QF22">
        <f t="shared" ca="1" si="26"/>
        <v>9.8679211441961296</v>
      </c>
      <c r="QG22">
        <f t="shared" ca="1" si="26"/>
        <v>9.8709144084566613</v>
      </c>
      <c r="QH22">
        <f t="shared" ca="1" si="26"/>
        <v>9.868299268207938</v>
      </c>
      <c r="QI22">
        <f t="shared" ca="1" si="26"/>
        <v>9.8745857761957403</v>
      </c>
      <c r="QJ22">
        <f t="shared" ca="1" si="26"/>
        <v>9.8710786811700011</v>
      </c>
      <c r="QK22">
        <f t="shared" ca="1" si="22"/>
        <v>9.8672832758363551</v>
      </c>
      <c r="QL22">
        <f t="shared" ca="1" si="22"/>
        <v>9.8697121522158398</v>
      </c>
      <c r="QM22">
        <f t="shared" ca="1" si="22"/>
        <v>9.8696589208927943</v>
      </c>
      <c r="QN22">
        <f t="shared" ca="1" si="22"/>
        <v>9.8719612230549476</v>
      </c>
      <c r="QO22">
        <f t="shared" ca="1" si="22"/>
        <v>9.8693308626183676</v>
      </c>
      <c r="QP22">
        <f t="shared" ca="1" si="22"/>
        <v>9.8707697076252714</v>
      </c>
      <c r="QQ22">
        <f t="shared" ca="1" si="22"/>
        <v>9.8720403035093405</v>
      </c>
      <c r="QR22">
        <f t="shared" ca="1" si="22"/>
        <v>9.8689666464057222</v>
      </c>
      <c r="QS22">
        <f t="shared" ca="1" si="22"/>
        <v>9.8636576045809772</v>
      </c>
      <c r="QT22">
        <f t="shared" ca="1" si="22"/>
        <v>9.8718641013367492</v>
      </c>
      <c r="QU22">
        <f t="shared" ca="1" si="22"/>
        <v>9.8713453924108574</v>
      </c>
      <c r="QV22">
        <f t="shared" ca="1" si="22"/>
        <v>9.8710999735545126</v>
      </c>
      <c r="QW22">
        <f t="shared" ca="1" si="22"/>
        <v>9.8709720731682715</v>
      </c>
      <c r="QX22">
        <f t="shared" ca="1" si="22"/>
        <v>9.8668652351476247</v>
      </c>
      <c r="QY22">
        <f t="shared" ca="1" si="22"/>
        <v>9.8709780042518052</v>
      </c>
      <c r="QZ22">
        <f t="shared" ca="1" si="22"/>
        <v>9.8727976633444516</v>
      </c>
      <c r="RA22">
        <f t="shared" ca="1" si="22"/>
        <v>9.8706133320260339</v>
      </c>
      <c r="RB22">
        <f t="shared" ca="1" si="22"/>
        <v>9.8662872723106751</v>
      </c>
      <c r="RC22">
        <f t="shared" ca="1" si="22"/>
        <v>9.8678154396589708</v>
      </c>
      <c r="RD22">
        <f t="shared" ca="1" si="22"/>
        <v>9.8683103905345746</v>
      </c>
      <c r="RE22">
        <f t="shared" ca="1" si="22"/>
        <v>9.8697864269527233</v>
      </c>
      <c r="RF22">
        <f t="shared" ca="1" si="22"/>
        <v>9.8650040463030564</v>
      </c>
      <c r="RG22">
        <f t="shared" ca="1" si="22"/>
        <v>9.8707858425824853</v>
      </c>
      <c r="RH22">
        <f t="shared" ca="1" si="22"/>
        <v>9.863088903211132</v>
      </c>
      <c r="RI22">
        <f t="shared" ca="1" si="22"/>
        <v>9.8691815890898518</v>
      </c>
      <c r="RJ22">
        <f t="shared" ca="1" si="22"/>
        <v>9.8678246084019907</v>
      </c>
      <c r="RK22">
        <f t="shared" ca="1" si="22"/>
        <v>9.8757264789099217</v>
      </c>
      <c r="RL22">
        <f t="shared" ca="1" si="22"/>
        <v>9.8730988338933052</v>
      </c>
      <c r="RM22">
        <f t="shared" ca="1" si="22"/>
        <v>9.8720920412064554</v>
      </c>
      <c r="RN22">
        <f t="shared" ca="1" si="22"/>
        <v>9.8716377341822614</v>
      </c>
      <c r="RO22">
        <f t="shared" ca="1" si="22"/>
        <v>9.8727648827125485</v>
      </c>
      <c r="RP22">
        <f t="shared" ca="1" si="22"/>
        <v>9.8670848732950809</v>
      </c>
      <c r="RQ22">
        <f t="shared" ca="1" si="22"/>
        <v>9.8668972317951109</v>
      </c>
      <c r="RR22">
        <f t="shared" ca="1" si="22"/>
        <v>9.8679711544537909</v>
      </c>
      <c r="RS22">
        <f t="shared" ca="1" si="22"/>
        <v>9.870370692200062</v>
      </c>
      <c r="RT22">
        <f t="shared" ca="1" si="22"/>
        <v>9.8730284800621195</v>
      </c>
      <c r="RU22">
        <f t="shared" ca="1" si="22"/>
        <v>9.8755839161186696</v>
      </c>
      <c r="RV22">
        <f t="shared" ca="1" si="22"/>
        <v>9.8707603261190222</v>
      </c>
      <c r="RW22">
        <f t="shared" ca="1" si="22"/>
        <v>9.870528811824677</v>
      </c>
      <c r="RX22">
        <f t="shared" ca="1" si="22"/>
        <v>9.8673518601598431</v>
      </c>
      <c r="RY22">
        <f t="shared" ca="1" si="22"/>
        <v>9.8766053072946978</v>
      </c>
      <c r="RZ22">
        <f t="shared" ca="1" si="22"/>
        <v>9.8702715526950975</v>
      </c>
      <c r="SA22">
        <f t="shared" ca="1" si="22"/>
        <v>9.8718715057447461</v>
      </c>
      <c r="SB22">
        <f t="shared" ca="1" si="22"/>
        <v>9.8721603591140568</v>
      </c>
      <c r="SC22">
        <f t="shared" ca="1" si="22"/>
        <v>9.8709119942777104</v>
      </c>
      <c r="SD22">
        <f t="shared" ca="1" si="22"/>
        <v>9.869569088230385</v>
      </c>
      <c r="SE22">
        <f t="shared" ca="1" si="22"/>
        <v>9.8694462282996884</v>
      </c>
      <c r="SF22">
        <f t="shared" ca="1" si="22"/>
        <v>9.8712158539666959</v>
      </c>
      <c r="SG22">
        <f t="shared" ca="1" si="22"/>
        <v>9.8766137259259388</v>
      </c>
    </row>
    <row r="23" spans="1:501" x14ac:dyDescent="0.3">
      <c r="A23" s="1">
        <v>45911</v>
      </c>
      <c r="B23">
        <f t="shared" ca="1" si="13"/>
        <v>9.9089151378668721</v>
      </c>
      <c r="C23">
        <f t="shared" ca="1" si="23"/>
        <v>9.9155130406263048</v>
      </c>
      <c r="D23">
        <f t="shared" ca="1" si="23"/>
        <v>9.9095161557251643</v>
      </c>
      <c r="E23">
        <f t="shared" ca="1" si="23"/>
        <v>9.9116289926430987</v>
      </c>
      <c r="F23">
        <f t="shared" ca="1" si="23"/>
        <v>9.9090972950681948</v>
      </c>
      <c r="G23">
        <f t="shared" ca="1" si="23"/>
        <v>9.9083446299332607</v>
      </c>
      <c r="H23">
        <f t="shared" ca="1" si="23"/>
        <v>9.9117774843712301</v>
      </c>
      <c r="I23">
        <f t="shared" ca="1" si="23"/>
        <v>9.911644752976958</v>
      </c>
      <c r="J23">
        <f t="shared" ca="1" si="23"/>
        <v>9.9140206181920103</v>
      </c>
      <c r="K23">
        <f t="shared" ca="1" si="23"/>
        <v>9.9160196087673356</v>
      </c>
      <c r="L23">
        <f t="shared" ca="1" si="23"/>
        <v>9.9111018814130158</v>
      </c>
      <c r="M23">
        <f t="shared" ca="1" si="23"/>
        <v>9.9127157128498933</v>
      </c>
      <c r="N23">
        <f t="shared" ca="1" si="23"/>
        <v>9.9064486068900948</v>
      </c>
      <c r="O23">
        <f t="shared" ca="1" si="23"/>
        <v>9.904184098021636</v>
      </c>
      <c r="P23">
        <f t="shared" ca="1" si="23"/>
        <v>9.9119395567383304</v>
      </c>
      <c r="Q23">
        <f t="shared" ca="1" si="23"/>
        <v>9.9034538282630944</v>
      </c>
      <c r="R23">
        <f t="shared" ca="1" si="23"/>
        <v>9.9111662282120623</v>
      </c>
      <c r="S23">
        <f t="shared" ca="1" si="23"/>
        <v>9.9097031429780724</v>
      </c>
      <c r="T23">
        <f t="shared" ca="1" si="23"/>
        <v>9.9103003114215049</v>
      </c>
      <c r="U23">
        <f t="shared" ca="1" si="23"/>
        <v>9.9104825748448029</v>
      </c>
      <c r="V23">
        <f t="shared" ca="1" si="23"/>
        <v>9.9045084755221602</v>
      </c>
      <c r="W23">
        <f t="shared" ca="1" si="23"/>
        <v>9.9077132921032014</v>
      </c>
      <c r="X23">
        <f t="shared" ca="1" si="23"/>
        <v>9.9086323844350321</v>
      </c>
      <c r="Y23">
        <f t="shared" ca="1" si="23"/>
        <v>9.907654338869504</v>
      </c>
      <c r="Z23">
        <f t="shared" ca="1" si="23"/>
        <v>9.909783837286513</v>
      </c>
      <c r="AA23">
        <f t="shared" ca="1" si="23"/>
        <v>9.9112557337850777</v>
      </c>
      <c r="AB23">
        <f t="shared" ca="1" si="23"/>
        <v>9.9089464933044642</v>
      </c>
      <c r="AC23">
        <f t="shared" ca="1" si="23"/>
        <v>9.907622656432709</v>
      </c>
      <c r="AD23">
        <f t="shared" ca="1" si="23"/>
        <v>9.9122403137689492</v>
      </c>
      <c r="AE23">
        <f t="shared" ca="1" si="23"/>
        <v>9.9099840908066064</v>
      </c>
      <c r="AF23">
        <f t="shared" ca="1" si="23"/>
        <v>9.9112086584596728</v>
      </c>
      <c r="AG23">
        <f t="shared" ca="1" si="23"/>
        <v>9.9050705476974414</v>
      </c>
      <c r="AH23">
        <f t="shared" ca="1" si="23"/>
        <v>9.9088305493590081</v>
      </c>
      <c r="AI23">
        <f t="shared" ca="1" si="23"/>
        <v>9.9120986995754343</v>
      </c>
      <c r="AJ23">
        <f t="shared" ca="1" si="23"/>
        <v>9.9068549989997905</v>
      </c>
      <c r="AK23">
        <f t="shared" ca="1" si="23"/>
        <v>9.9062860609844616</v>
      </c>
      <c r="AL23">
        <f t="shared" ca="1" si="23"/>
        <v>9.9056160739271331</v>
      </c>
      <c r="AM23">
        <f t="shared" ca="1" si="23"/>
        <v>9.908409235236963</v>
      </c>
      <c r="AN23">
        <f t="shared" ca="1" si="23"/>
        <v>9.910455931070242</v>
      </c>
      <c r="AO23">
        <f t="shared" ca="1" si="23"/>
        <v>9.9123765140892246</v>
      </c>
      <c r="AP23">
        <f t="shared" ca="1" si="23"/>
        <v>9.9074641515582087</v>
      </c>
      <c r="AQ23">
        <f t="shared" ca="1" si="23"/>
        <v>9.9073531148117073</v>
      </c>
      <c r="AR23">
        <f t="shared" ca="1" si="23"/>
        <v>9.9067002501257608</v>
      </c>
      <c r="AS23">
        <f t="shared" ca="1" si="23"/>
        <v>9.9105406665477851</v>
      </c>
      <c r="AT23">
        <f t="shared" ca="1" si="23"/>
        <v>9.9106826547188778</v>
      </c>
      <c r="AU23">
        <f t="shared" ca="1" si="23"/>
        <v>9.9085950332582229</v>
      </c>
      <c r="AV23">
        <f t="shared" ca="1" si="23"/>
        <v>9.9098739501721926</v>
      </c>
      <c r="AW23">
        <f t="shared" ca="1" si="23"/>
        <v>9.9100621519363479</v>
      </c>
      <c r="AX23">
        <f t="shared" ca="1" si="23"/>
        <v>9.9091562336814647</v>
      </c>
      <c r="AY23">
        <f t="shared" ca="1" si="23"/>
        <v>9.9112999151689749</v>
      </c>
      <c r="AZ23">
        <f t="shared" ca="1" si="23"/>
        <v>9.9091258142033052</v>
      </c>
      <c r="BA23">
        <f t="shared" ca="1" si="23"/>
        <v>9.9114922026762837</v>
      </c>
      <c r="BB23">
        <f t="shared" ca="1" si="23"/>
        <v>9.9115276896746352</v>
      </c>
      <c r="BC23">
        <f t="shared" ca="1" si="23"/>
        <v>9.9079557870687562</v>
      </c>
      <c r="BD23">
        <f t="shared" ca="1" si="23"/>
        <v>9.9095064391498511</v>
      </c>
      <c r="BE23">
        <f t="shared" ca="1" si="23"/>
        <v>9.9097471807418831</v>
      </c>
      <c r="BF23">
        <f t="shared" ca="1" si="23"/>
        <v>9.9077672557305014</v>
      </c>
      <c r="BG23">
        <f t="shared" ca="1" si="23"/>
        <v>9.9112220490626388</v>
      </c>
      <c r="BH23">
        <f t="shared" ca="1" si="23"/>
        <v>9.9074617426017966</v>
      </c>
      <c r="BI23">
        <f t="shared" ca="1" si="23"/>
        <v>9.911790617529098</v>
      </c>
      <c r="BJ23">
        <f t="shared" ca="1" si="23"/>
        <v>9.9113566534828106</v>
      </c>
      <c r="BK23">
        <f t="shared" ca="1" si="23"/>
        <v>9.9082350729727011</v>
      </c>
      <c r="BL23">
        <f t="shared" ca="1" si="23"/>
        <v>9.9074229163502778</v>
      </c>
      <c r="BM23">
        <f t="shared" ca="1" si="23"/>
        <v>9.9046058726107127</v>
      </c>
      <c r="BN23">
        <f t="shared" ca="1" si="23"/>
        <v>9.9092647627296078</v>
      </c>
      <c r="BO23">
        <f t="shared" ca="1" si="21"/>
        <v>9.9083751440450705</v>
      </c>
      <c r="BP23">
        <f t="shared" ca="1" si="21"/>
        <v>9.9143900949581685</v>
      </c>
      <c r="BQ23">
        <f t="shared" ca="1" si="21"/>
        <v>9.9100783356901072</v>
      </c>
      <c r="BR23">
        <f t="shared" ca="1" si="21"/>
        <v>9.9089003922338321</v>
      </c>
      <c r="BS23">
        <f t="shared" ca="1" si="21"/>
        <v>9.9103539090689825</v>
      </c>
      <c r="BT23">
        <f t="shared" ca="1" si="21"/>
        <v>9.9087227887586788</v>
      </c>
      <c r="BU23">
        <f t="shared" ca="1" si="21"/>
        <v>9.9139543445682996</v>
      </c>
      <c r="BV23">
        <f t="shared" ca="1" si="21"/>
        <v>9.9078586542186891</v>
      </c>
      <c r="BW23">
        <f t="shared" ca="1" si="21"/>
        <v>9.9112111341813023</v>
      </c>
      <c r="BX23">
        <f t="shared" ca="1" si="21"/>
        <v>9.9121487095916798</v>
      </c>
      <c r="BY23">
        <f t="shared" ca="1" si="21"/>
        <v>9.9067048877790125</v>
      </c>
      <c r="BZ23">
        <f t="shared" ca="1" si="21"/>
        <v>9.9118893612877645</v>
      </c>
      <c r="CA23">
        <f t="shared" ca="1" si="21"/>
        <v>9.9140782932635663</v>
      </c>
      <c r="CB23">
        <f t="shared" ca="1" si="21"/>
        <v>9.9087288001090457</v>
      </c>
      <c r="CC23">
        <f t="shared" ca="1" si="21"/>
        <v>9.9120716704521588</v>
      </c>
      <c r="CD23">
        <f t="shared" ca="1" si="21"/>
        <v>9.909693154756221</v>
      </c>
      <c r="CE23">
        <f t="shared" ca="1" si="21"/>
        <v>9.9095653760796409</v>
      </c>
      <c r="CF23">
        <f t="shared" ca="1" si="21"/>
        <v>9.9128039268813488</v>
      </c>
      <c r="CG23">
        <f t="shared" ca="1" si="21"/>
        <v>9.909890193735496</v>
      </c>
      <c r="CH23">
        <f t="shared" ca="1" si="21"/>
        <v>9.9058194097464973</v>
      </c>
      <c r="CI23">
        <f t="shared" ca="1" si="21"/>
        <v>9.9103034599863804</v>
      </c>
      <c r="CJ23">
        <f t="shared" ca="1" si="21"/>
        <v>9.9018320897401129</v>
      </c>
      <c r="CK23">
        <f t="shared" ca="1" si="21"/>
        <v>9.9068941801872956</v>
      </c>
      <c r="CL23">
        <f t="shared" ca="1" si="21"/>
        <v>9.9081312721340069</v>
      </c>
      <c r="CM23">
        <f t="shared" ca="1" si="21"/>
        <v>9.9096765863346086</v>
      </c>
      <c r="CN23">
        <f t="shared" ca="1" si="21"/>
        <v>9.9093612840194787</v>
      </c>
      <c r="CO23">
        <f t="shared" ca="1" si="21"/>
        <v>9.9076481728561472</v>
      </c>
      <c r="CP23">
        <f t="shared" ca="1" si="21"/>
        <v>9.9128555494229502</v>
      </c>
      <c r="CQ23">
        <f t="shared" ca="1" si="21"/>
        <v>9.9052853742852847</v>
      </c>
      <c r="CR23">
        <f t="shared" ca="1" si="21"/>
        <v>9.9123429705129524</v>
      </c>
      <c r="CS23">
        <f t="shared" ca="1" si="21"/>
        <v>9.911537972669981</v>
      </c>
      <c r="CT23">
        <f t="shared" ca="1" si="21"/>
        <v>9.9090133102119484</v>
      </c>
      <c r="CU23">
        <f t="shared" ca="1" si="21"/>
        <v>9.9099145215578019</v>
      </c>
      <c r="CV23">
        <f t="shared" ca="1" si="21"/>
        <v>9.909593988742154</v>
      </c>
      <c r="CW23">
        <f t="shared" ca="1" si="21"/>
        <v>9.9107185413157985</v>
      </c>
      <c r="CX23">
        <f t="shared" ca="1" si="21"/>
        <v>9.9135618773219676</v>
      </c>
      <c r="CY23">
        <f t="shared" ca="1" si="21"/>
        <v>9.9051556711165656</v>
      </c>
      <c r="CZ23">
        <f t="shared" ca="1" si="21"/>
        <v>9.9128454392609413</v>
      </c>
      <c r="DA23">
        <f t="shared" ca="1" si="21"/>
        <v>9.9097398132687751</v>
      </c>
      <c r="DB23">
        <f t="shared" ca="1" si="21"/>
        <v>9.9058531869865654</v>
      </c>
      <c r="DC23">
        <f t="shared" ca="1" si="21"/>
        <v>9.9120419190931379</v>
      </c>
      <c r="DD23">
        <f t="shared" ca="1" si="21"/>
        <v>9.9098255804985804</v>
      </c>
      <c r="DE23">
        <f t="shared" ca="1" si="21"/>
        <v>9.9139463172567268</v>
      </c>
      <c r="DF23">
        <f t="shared" ca="1" si="21"/>
        <v>9.9113082166950175</v>
      </c>
      <c r="DG23">
        <f t="shared" ca="1" si="21"/>
        <v>9.9107864477731109</v>
      </c>
      <c r="DH23">
        <f t="shared" ca="1" si="21"/>
        <v>9.9053853219745811</v>
      </c>
      <c r="DI23">
        <f t="shared" ca="1" si="21"/>
        <v>9.910991006338211</v>
      </c>
      <c r="DJ23">
        <f t="shared" ca="1" si="21"/>
        <v>9.9122929771158397</v>
      </c>
      <c r="DK23">
        <f t="shared" ca="1" si="21"/>
        <v>9.9107154011750058</v>
      </c>
      <c r="DL23">
        <f t="shared" ca="1" si="21"/>
        <v>9.9057653607931915</v>
      </c>
      <c r="DM23">
        <f t="shared" ca="1" si="21"/>
        <v>9.9129678305741482</v>
      </c>
      <c r="DN23">
        <f t="shared" ca="1" si="21"/>
        <v>9.9085822897972822</v>
      </c>
      <c r="DO23">
        <f t="shared" ca="1" si="21"/>
        <v>9.9075470280152462</v>
      </c>
      <c r="DP23">
        <f t="shared" ca="1" si="21"/>
        <v>9.9105874736344717</v>
      </c>
      <c r="DQ23">
        <f t="shared" ca="1" si="21"/>
        <v>9.9039941058616208</v>
      </c>
      <c r="DR23">
        <f t="shared" ca="1" si="21"/>
        <v>9.9125884526953509</v>
      </c>
      <c r="DS23">
        <f t="shared" ca="1" si="21"/>
        <v>9.9052497550130489</v>
      </c>
      <c r="DT23">
        <f t="shared" ca="1" si="21"/>
        <v>9.9091418519054795</v>
      </c>
      <c r="DU23">
        <f t="shared" ca="1" si="21"/>
        <v>9.9049127854926091</v>
      </c>
      <c r="DV23">
        <f t="shared" ca="1" si="21"/>
        <v>9.9076894613962274</v>
      </c>
      <c r="DW23">
        <f t="shared" ca="1" si="21"/>
        <v>9.9062779532803429</v>
      </c>
      <c r="DX23">
        <f t="shared" ca="1" si="21"/>
        <v>9.9112429547464576</v>
      </c>
      <c r="DY23">
        <f t="shared" ca="1" si="21"/>
        <v>9.9061960563846565</v>
      </c>
      <c r="DZ23">
        <f t="shared" ca="1" si="18"/>
        <v>9.9122894348028883</v>
      </c>
      <c r="EA23">
        <f t="shared" ref="EA23:GL23" ca="1" si="27">$B10*EXP(($I10-($H10^2)/2)*(1/52)+$H10*SQRT(1/52)*_xlfn.NORM.INV(RAND(),0,1))</f>
        <v>9.909256573031815</v>
      </c>
      <c r="EB23">
        <f t="shared" ca="1" si="27"/>
        <v>9.9112886703838221</v>
      </c>
      <c r="EC23">
        <f t="shared" ca="1" si="27"/>
        <v>9.9109387410469445</v>
      </c>
      <c r="ED23">
        <f t="shared" ca="1" si="27"/>
        <v>9.9100871466463811</v>
      </c>
      <c r="EE23">
        <f t="shared" ca="1" si="27"/>
        <v>9.908794016113438</v>
      </c>
      <c r="EF23">
        <f t="shared" ca="1" si="27"/>
        <v>9.9101936233685937</v>
      </c>
      <c r="EG23">
        <f t="shared" ca="1" si="27"/>
        <v>9.9094280938224522</v>
      </c>
      <c r="EH23">
        <f t="shared" ca="1" si="27"/>
        <v>9.9149929356029851</v>
      </c>
      <c r="EI23">
        <f t="shared" ca="1" si="27"/>
        <v>9.903926316772333</v>
      </c>
      <c r="EJ23">
        <f t="shared" ca="1" si="27"/>
        <v>9.910376665251114</v>
      </c>
      <c r="EK23">
        <f t="shared" ca="1" si="27"/>
        <v>9.9100088630332301</v>
      </c>
      <c r="EL23">
        <f t="shared" ca="1" si="27"/>
        <v>9.9077021645330117</v>
      </c>
      <c r="EM23">
        <f t="shared" ca="1" si="27"/>
        <v>9.904422840680132</v>
      </c>
      <c r="EN23">
        <f t="shared" ca="1" si="27"/>
        <v>9.9094162208596082</v>
      </c>
      <c r="EO23">
        <f t="shared" ca="1" si="27"/>
        <v>9.9067245662485526</v>
      </c>
      <c r="EP23">
        <f t="shared" ca="1" si="27"/>
        <v>9.9137200697074483</v>
      </c>
      <c r="EQ23">
        <f t="shared" ca="1" si="27"/>
        <v>9.9084533420435559</v>
      </c>
      <c r="ER23">
        <f t="shared" ca="1" si="27"/>
        <v>9.9123726544745736</v>
      </c>
      <c r="ES23">
        <f t="shared" ca="1" si="27"/>
        <v>9.916253757701444</v>
      </c>
      <c r="ET23">
        <f t="shared" ca="1" si="27"/>
        <v>9.9108487308871585</v>
      </c>
      <c r="EU23">
        <f t="shared" ca="1" si="27"/>
        <v>9.9109396766691287</v>
      </c>
      <c r="EV23">
        <f t="shared" ca="1" si="27"/>
        <v>9.9080968373602936</v>
      </c>
      <c r="EW23">
        <f t="shared" ca="1" si="27"/>
        <v>9.9078643416965182</v>
      </c>
      <c r="EX23">
        <f t="shared" ca="1" si="27"/>
        <v>9.9053311806065309</v>
      </c>
      <c r="EY23">
        <f t="shared" ca="1" si="27"/>
        <v>9.9148490886553375</v>
      </c>
      <c r="EZ23">
        <f t="shared" ca="1" si="27"/>
        <v>9.9112394370481773</v>
      </c>
      <c r="FA23">
        <f t="shared" ca="1" si="27"/>
        <v>9.9122698571132855</v>
      </c>
      <c r="FB23">
        <f t="shared" ca="1" si="27"/>
        <v>9.91044492370653</v>
      </c>
      <c r="FC23">
        <f t="shared" ca="1" si="27"/>
        <v>9.9092593663553643</v>
      </c>
      <c r="FD23">
        <f t="shared" ca="1" si="27"/>
        <v>9.9120061195177396</v>
      </c>
      <c r="FE23">
        <f t="shared" ca="1" si="27"/>
        <v>9.9094486538296085</v>
      </c>
      <c r="FF23">
        <f t="shared" ca="1" si="27"/>
        <v>9.9118016939138709</v>
      </c>
      <c r="FG23">
        <f t="shared" ca="1" si="27"/>
        <v>9.9112353775204252</v>
      </c>
      <c r="FH23">
        <f t="shared" ca="1" si="27"/>
        <v>9.9131373225003863</v>
      </c>
      <c r="FI23">
        <f t="shared" ca="1" si="27"/>
        <v>9.9072733379695368</v>
      </c>
      <c r="FJ23">
        <f t="shared" ca="1" si="27"/>
        <v>9.9098905101298573</v>
      </c>
      <c r="FK23">
        <f t="shared" ca="1" si="27"/>
        <v>9.9061389398688888</v>
      </c>
      <c r="FL23">
        <f t="shared" ca="1" si="27"/>
        <v>9.909703526202529</v>
      </c>
      <c r="FM23">
        <f t="shared" ca="1" si="27"/>
        <v>9.9110611912611528</v>
      </c>
      <c r="FN23">
        <f t="shared" ca="1" si="27"/>
        <v>9.9082930467046886</v>
      </c>
      <c r="FO23">
        <f t="shared" ca="1" si="27"/>
        <v>9.9102463525538909</v>
      </c>
      <c r="FP23">
        <f t="shared" ca="1" si="27"/>
        <v>9.9111596000182747</v>
      </c>
      <c r="FQ23">
        <f t="shared" ca="1" si="27"/>
        <v>9.908533855308395</v>
      </c>
      <c r="FR23">
        <f t="shared" ca="1" si="27"/>
        <v>9.9086596914212777</v>
      </c>
      <c r="FS23">
        <f t="shared" ca="1" si="27"/>
        <v>9.9141889235692808</v>
      </c>
      <c r="FT23">
        <f t="shared" ca="1" si="27"/>
        <v>9.9104334784186499</v>
      </c>
      <c r="FU23">
        <f t="shared" ca="1" si="27"/>
        <v>9.9101880298081593</v>
      </c>
      <c r="FV23">
        <f t="shared" ca="1" si="27"/>
        <v>9.9073743496587401</v>
      </c>
      <c r="FW23">
        <f t="shared" ca="1" si="27"/>
        <v>9.9084656817133734</v>
      </c>
      <c r="FX23">
        <f t="shared" ca="1" si="27"/>
        <v>9.909261232465715</v>
      </c>
      <c r="FY23">
        <f t="shared" ca="1" si="27"/>
        <v>9.9111269251880252</v>
      </c>
      <c r="FZ23">
        <f t="shared" ca="1" si="27"/>
        <v>9.9070120856264126</v>
      </c>
      <c r="GA23">
        <f t="shared" ca="1" si="27"/>
        <v>9.9091247715662707</v>
      </c>
      <c r="GB23">
        <f t="shared" ca="1" si="27"/>
        <v>9.9058840352203266</v>
      </c>
      <c r="GC23">
        <f t="shared" ca="1" si="27"/>
        <v>9.9102711060968236</v>
      </c>
      <c r="GD23">
        <f t="shared" ca="1" si="27"/>
        <v>9.9115803478798803</v>
      </c>
      <c r="GE23">
        <f t="shared" ca="1" si="27"/>
        <v>9.9066238587380386</v>
      </c>
      <c r="GF23">
        <f t="shared" ca="1" si="27"/>
        <v>9.9051684592884435</v>
      </c>
      <c r="GG23">
        <f t="shared" ca="1" si="27"/>
        <v>9.909178435246325</v>
      </c>
      <c r="GH23">
        <f t="shared" ca="1" si="27"/>
        <v>9.9097672565834287</v>
      </c>
      <c r="GI23">
        <f t="shared" ca="1" si="27"/>
        <v>9.9064201219624408</v>
      </c>
      <c r="GJ23">
        <f t="shared" ca="1" si="27"/>
        <v>9.9113126690886375</v>
      </c>
      <c r="GK23">
        <f t="shared" ca="1" si="27"/>
        <v>9.9111550103543866</v>
      </c>
      <c r="GL23">
        <f t="shared" ca="1" si="27"/>
        <v>9.9138972036892827</v>
      </c>
      <c r="GM23">
        <f t="shared" ca="1" si="24"/>
        <v>9.9098197002183213</v>
      </c>
      <c r="GN23">
        <f t="shared" ca="1" si="24"/>
        <v>9.9069816396926011</v>
      </c>
      <c r="GO23">
        <f t="shared" ca="1" si="19"/>
        <v>9.9101298005075051</v>
      </c>
      <c r="GP23">
        <f t="shared" ref="GP23:JA23" ca="1" si="28">$B10*EXP(($I10-($H10^2)/2)*(1/52)+$H10*SQRT(1/52)*_xlfn.NORM.INV(RAND(),0,1))</f>
        <v>9.9084517266004024</v>
      </c>
      <c r="GQ23">
        <f t="shared" ca="1" si="28"/>
        <v>9.9140158703618972</v>
      </c>
      <c r="GR23">
        <f t="shared" ca="1" si="28"/>
        <v>9.913643344183475</v>
      </c>
      <c r="GS23">
        <f t="shared" ca="1" si="28"/>
        <v>9.9109970562113254</v>
      </c>
      <c r="GT23">
        <f t="shared" ca="1" si="28"/>
        <v>9.9081493547536166</v>
      </c>
      <c r="GU23">
        <f t="shared" ca="1" si="28"/>
        <v>9.9060974842194849</v>
      </c>
      <c r="GV23">
        <f t="shared" ca="1" si="28"/>
        <v>9.9111473657401685</v>
      </c>
      <c r="GW23">
        <f t="shared" ca="1" si="28"/>
        <v>9.9086477404461117</v>
      </c>
      <c r="GX23">
        <f t="shared" ca="1" si="28"/>
        <v>9.9115903678132184</v>
      </c>
      <c r="GY23">
        <f t="shared" ca="1" si="28"/>
        <v>9.9063844541339297</v>
      </c>
      <c r="GZ23">
        <f t="shared" ca="1" si="28"/>
        <v>9.9096140733634801</v>
      </c>
      <c r="HA23">
        <f t="shared" ca="1" si="28"/>
        <v>9.9115224136615598</v>
      </c>
      <c r="HB23">
        <f t="shared" ca="1" si="28"/>
        <v>9.9082637428422853</v>
      </c>
      <c r="HC23">
        <f t="shared" ca="1" si="28"/>
        <v>9.9057431780572323</v>
      </c>
      <c r="HD23">
        <f t="shared" ca="1" si="28"/>
        <v>9.9068291373521173</v>
      </c>
      <c r="HE23">
        <f t="shared" ca="1" si="28"/>
        <v>9.9102383020483646</v>
      </c>
      <c r="HF23">
        <f t="shared" ca="1" si="28"/>
        <v>9.9133915836549029</v>
      </c>
      <c r="HG23">
        <f t="shared" ca="1" si="28"/>
        <v>9.9102185771982914</v>
      </c>
      <c r="HH23">
        <f t="shared" ca="1" si="28"/>
        <v>9.9131350581221298</v>
      </c>
      <c r="HI23">
        <f t="shared" ca="1" si="28"/>
        <v>9.9088953477221047</v>
      </c>
      <c r="HJ23">
        <f t="shared" ca="1" si="28"/>
        <v>9.9107140683368744</v>
      </c>
      <c r="HK23">
        <f t="shared" ca="1" si="28"/>
        <v>9.905737662287704</v>
      </c>
      <c r="HL23">
        <f t="shared" ca="1" si="28"/>
        <v>9.914155281637532</v>
      </c>
      <c r="HM23">
        <f t="shared" ca="1" si="28"/>
        <v>9.9106345869350356</v>
      </c>
      <c r="HN23">
        <f t="shared" ca="1" si="28"/>
        <v>9.9072581513116766</v>
      </c>
      <c r="HO23">
        <f t="shared" ca="1" si="28"/>
        <v>9.9081166292209577</v>
      </c>
      <c r="HP23">
        <f t="shared" ca="1" si="28"/>
        <v>9.9103349888253902</v>
      </c>
      <c r="HQ23">
        <f t="shared" ca="1" si="28"/>
        <v>9.912084079402435</v>
      </c>
      <c r="HR23">
        <f t="shared" ca="1" si="28"/>
        <v>9.9129075492852063</v>
      </c>
      <c r="HS23">
        <f t="shared" ca="1" si="28"/>
        <v>9.9110908041474364</v>
      </c>
      <c r="HT23">
        <f t="shared" ca="1" si="28"/>
        <v>9.9127878625455281</v>
      </c>
      <c r="HU23">
        <f t="shared" ca="1" si="28"/>
        <v>9.9179872307565962</v>
      </c>
      <c r="HV23">
        <f t="shared" ca="1" si="28"/>
        <v>9.9094850189278354</v>
      </c>
      <c r="HW23">
        <f t="shared" ca="1" si="28"/>
        <v>9.9110620448545621</v>
      </c>
      <c r="HX23">
        <f t="shared" ca="1" si="28"/>
        <v>9.9080266619907604</v>
      </c>
      <c r="HY23">
        <f t="shared" ca="1" si="28"/>
        <v>9.9094156857238076</v>
      </c>
      <c r="HZ23">
        <f t="shared" ca="1" si="28"/>
        <v>9.9097387392844354</v>
      </c>
      <c r="IA23">
        <f t="shared" ca="1" si="28"/>
        <v>9.908460395935057</v>
      </c>
      <c r="IB23">
        <f t="shared" ca="1" si="28"/>
        <v>9.9133229218952597</v>
      </c>
      <c r="IC23">
        <f t="shared" ca="1" si="28"/>
        <v>9.9106363409122356</v>
      </c>
      <c r="ID23">
        <f t="shared" ca="1" si="28"/>
        <v>9.9067470865642591</v>
      </c>
      <c r="IE23">
        <f t="shared" ca="1" si="28"/>
        <v>9.9099940094977885</v>
      </c>
      <c r="IF23">
        <f t="shared" ca="1" si="28"/>
        <v>9.9114773236230427</v>
      </c>
      <c r="IG23">
        <f t="shared" ca="1" si="28"/>
        <v>9.9124081199570497</v>
      </c>
      <c r="IH23">
        <f t="shared" ca="1" si="28"/>
        <v>9.9076719644555755</v>
      </c>
      <c r="II23">
        <f t="shared" ca="1" si="28"/>
        <v>9.9127884375603053</v>
      </c>
      <c r="IJ23">
        <f t="shared" ca="1" si="28"/>
        <v>9.9099725625247714</v>
      </c>
      <c r="IK23">
        <f t="shared" ca="1" si="28"/>
        <v>9.9104166827091902</v>
      </c>
      <c r="IL23">
        <f t="shared" ca="1" si="28"/>
        <v>9.903718898971551</v>
      </c>
      <c r="IM23">
        <f t="shared" ca="1" si="28"/>
        <v>9.9136437922343834</v>
      </c>
      <c r="IN23">
        <f t="shared" ca="1" si="28"/>
        <v>9.9101282121304628</v>
      </c>
      <c r="IO23">
        <f t="shared" ca="1" si="28"/>
        <v>9.9099878867684339</v>
      </c>
      <c r="IP23">
        <f t="shared" ca="1" si="28"/>
        <v>9.9081272161572826</v>
      </c>
      <c r="IQ23">
        <f t="shared" ca="1" si="28"/>
        <v>9.9120739996824874</v>
      </c>
      <c r="IR23">
        <f t="shared" ca="1" si="28"/>
        <v>9.9134642755369295</v>
      </c>
      <c r="IS23">
        <f t="shared" ca="1" si="28"/>
        <v>9.9069362092067514</v>
      </c>
      <c r="IT23">
        <f t="shared" ca="1" si="28"/>
        <v>9.9151794744829278</v>
      </c>
      <c r="IU23">
        <f t="shared" ca="1" si="28"/>
        <v>9.9078692107019624</v>
      </c>
      <c r="IV23">
        <f t="shared" ca="1" si="28"/>
        <v>9.9085489611281083</v>
      </c>
      <c r="IW23">
        <f t="shared" ca="1" si="28"/>
        <v>9.9063703860052463</v>
      </c>
      <c r="IX23">
        <f t="shared" ca="1" si="28"/>
        <v>9.9095178407879203</v>
      </c>
      <c r="IY23">
        <f t="shared" ca="1" si="28"/>
        <v>9.9060342568298854</v>
      </c>
      <c r="IZ23">
        <f t="shared" ca="1" si="28"/>
        <v>9.9087518372330763</v>
      </c>
      <c r="JA23">
        <f t="shared" ca="1" si="28"/>
        <v>9.9111721912594177</v>
      </c>
      <c r="JB23">
        <f t="shared" ca="1" si="25"/>
        <v>9.9072731842743433</v>
      </c>
      <c r="JC23">
        <f t="shared" ca="1" si="25"/>
        <v>9.9131301292129592</v>
      </c>
      <c r="JD23">
        <f t="shared" ca="1" si="25"/>
        <v>9.9112962881445377</v>
      </c>
      <c r="JE23">
        <f t="shared" ca="1" si="25"/>
        <v>9.9136739605655606</v>
      </c>
      <c r="JF23">
        <f t="shared" ca="1" si="25"/>
        <v>9.9082189604823974</v>
      </c>
      <c r="JG23">
        <f t="shared" ca="1" si="25"/>
        <v>9.9070999470004484</v>
      </c>
      <c r="JH23">
        <f t="shared" ca="1" si="25"/>
        <v>9.9112740035528848</v>
      </c>
      <c r="JI23">
        <f t="shared" ca="1" si="25"/>
        <v>9.9046040121793055</v>
      </c>
      <c r="JJ23">
        <f t="shared" ca="1" si="25"/>
        <v>9.9128461983671485</v>
      </c>
      <c r="JK23">
        <f t="shared" ca="1" si="25"/>
        <v>9.9158757759389662</v>
      </c>
      <c r="JL23">
        <f t="shared" ca="1" si="25"/>
        <v>9.9102612585235583</v>
      </c>
      <c r="JM23">
        <f t="shared" ca="1" si="25"/>
        <v>9.9090662842845809</v>
      </c>
      <c r="JN23">
        <f t="shared" ca="1" si="25"/>
        <v>9.9132745188645028</v>
      </c>
      <c r="JO23">
        <f t="shared" ca="1" si="25"/>
        <v>9.9079580462407915</v>
      </c>
      <c r="JP23">
        <f t="shared" ca="1" si="25"/>
        <v>9.9096169691511768</v>
      </c>
      <c r="JQ23">
        <f t="shared" ca="1" si="25"/>
        <v>9.9104625742568313</v>
      </c>
      <c r="JR23">
        <f t="shared" ca="1" si="25"/>
        <v>9.9114797815681825</v>
      </c>
      <c r="JS23">
        <f t="shared" ca="1" si="25"/>
        <v>9.9121184514421437</v>
      </c>
      <c r="JT23">
        <f t="shared" ca="1" si="25"/>
        <v>9.9111090409845417</v>
      </c>
      <c r="JU23">
        <f t="shared" ca="1" si="25"/>
        <v>9.9103881654251325</v>
      </c>
      <c r="JV23">
        <f t="shared" ca="1" si="25"/>
        <v>9.9073497499650269</v>
      </c>
      <c r="JW23">
        <f t="shared" ca="1" si="25"/>
        <v>9.9131222399822629</v>
      </c>
      <c r="JX23">
        <f t="shared" ca="1" si="25"/>
        <v>9.9089073684996833</v>
      </c>
      <c r="JY23">
        <f t="shared" ca="1" si="25"/>
        <v>9.9112738345329827</v>
      </c>
      <c r="JZ23">
        <f t="shared" ca="1" si="25"/>
        <v>9.9104763215833032</v>
      </c>
      <c r="KA23">
        <f t="shared" ca="1" si="25"/>
        <v>9.9076284470012208</v>
      </c>
      <c r="KB23">
        <f t="shared" ca="1" si="25"/>
        <v>9.9074278423572029</v>
      </c>
      <c r="KC23">
        <f t="shared" ca="1" si="25"/>
        <v>9.9104348245214116</v>
      </c>
      <c r="KD23">
        <f t="shared" ca="1" si="25"/>
        <v>9.9139209005384767</v>
      </c>
      <c r="KE23">
        <f t="shared" ca="1" si="25"/>
        <v>9.9099267580978943</v>
      </c>
      <c r="KF23">
        <f t="shared" ca="1" si="25"/>
        <v>9.9091569464681726</v>
      </c>
      <c r="KG23">
        <f t="shared" ca="1" si="25"/>
        <v>9.909204173529286</v>
      </c>
      <c r="KH23">
        <f t="shared" ca="1" si="25"/>
        <v>9.909902641206326</v>
      </c>
      <c r="KI23">
        <f t="shared" ca="1" si="25"/>
        <v>9.9146667996229443</v>
      </c>
      <c r="KJ23">
        <f t="shared" ca="1" si="25"/>
        <v>9.9081508822077815</v>
      </c>
      <c r="KK23">
        <f t="shared" ca="1" si="25"/>
        <v>9.9074599476333454</v>
      </c>
      <c r="KL23">
        <f t="shared" ca="1" si="25"/>
        <v>9.906535943682016</v>
      </c>
      <c r="KM23">
        <f t="shared" ca="1" si="25"/>
        <v>9.9110867442986326</v>
      </c>
      <c r="KN23">
        <f t="shared" ca="1" si="25"/>
        <v>9.9090201686696791</v>
      </c>
      <c r="KO23">
        <f t="shared" ca="1" si="25"/>
        <v>9.9091947854960871</v>
      </c>
      <c r="KP23">
        <f t="shared" ca="1" si="25"/>
        <v>9.9090534384710285</v>
      </c>
      <c r="KQ23">
        <f t="shared" ca="1" si="25"/>
        <v>9.9058877604793647</v>
      </c>
      <c r="KR23">
        <f t="shared" ca="1" si="25"/>
        <v>9.9112514760283847</v>
      </c>
      <c r="KS23">
        <f t="shared" ca="1" si="25"/>
        <v>9.9092995883417725</v>
      </c>
      <c r="KT23">
        <f t="shared" ca="1" si="25"/>
        <v>9.9103048006562524</v>
      </c>
      <c r="KU23">
        <f t="shared" ca="1" si="25"/>
        <v>9.9079042657913678</v>
      </c>
      <c r="KV23">
        <f t="shared" ca="1" si="25"/>
        <v>9.9100276894671122</v>
      </c>
      <c r="KW23">
        <f t="shared" ca="1" si="25"/>
        <v>9.9100101571993875</v>
      </c>
      <c r="KX23">
        <f t="shared" ca="1" si="25"/>
        <v>9.9150201787598213</v>
      </c>
      <c r="KY23">
        <f t="shared" ca="1" si="25"/>
        <v>9.9131171820320567</v>
      </c>
      <c r="KZ23">
        <f t="shared" ca="1" si="25"/>
        <v>9.9108598234898864</v>
      </c>
      <c r="LA23">
        <f t="shared" ca="1" si="25"/>
        <v>9.912970892550808</v>
      </c>
      <c r="LB23">
        <f t="shared" ca="1" si="25"/>
        <v>9.9122953922969455</v>
      </c>
      <c r="LC23">
        <f t="shared" ca="1" si="25"/>
        <v>9.9044730281205577</v>
      </c>
      <c r="LD23">
        <f t="shared" ca="1" si="25"/>
        <v>9.9109489729151434</v>
      </c>
      <c r="LE23">
        <f t="shared" ca="1" si="25"/>
        <v>9.9088118365382822</v>
      </c>
      <c r="LF23">
        <f t="shared" ca="1" si="25"/>
        <v>9.9108503420207654</v>
      </c>
      <c r="LG23">
        <f t="shared" ca="1" si="25"/>
        <v>9.912761836984707</v>
      </c>
      <c r="LH23">
        <f t="shared" ca="1" si="25"/>
        <v>9.908167064934073</v>
      </c>
      <c r="LI23">
        <f t="shared" ca="1" si="25"/>
        <v>9.912858650419091</v>
      </c>
      <c r="LJ23">
        <f t="shared" ca="1" si="25"/>
        <v>9.9074675187253955</v>
      </c>
      <c r="LK23">
        <f t="shared" ca="1" si="25"/>
        <v>9.9101411897316254</v>
      </c>
      <c r="LL23">
        <f t="shared" ca="1" si="25"/>
        <v>9.9115762761048227</v>
      </c>
      <c r="LM23">
        <f t="shared" ca="1" si="20"/>
        <v>9.9133974719145694</v>
      </c>
      <c r="LN23">
        <f t="shared" ref="LN23:NY23" ca="1" si="29">$B10*EXP(($I10-($H10^2)/2)*(1/52)+$H10*SQRT(1/52)*_xlfn.NORM.INV(RAND(),0,1))</f>
        <v>9.9109256620269441</v>
      </c>
      <c r="LO23">
        <f t="shared" ca="1" si="29"/>
        <v>9.9084846903195611</v>
      </c>
      <c r="LP23">
        <f t="shared" ca="1" si="29"/>
        <v>9.9117911640018193</v>
      </c>
      <c r="LQ23">
        <f t="shared" ca="1" si="29"/>
        <v>9.9099284771753187</v>
      </c>
      <c r="LR23">
        <f t="shared" ca="1" si="29"/>
        <v>9.9139339047707402</v>
      </c>
      <c r="LS23">
        <f t="shared" ca="1" si="29"/>
        <v>9.9057177597558859</v>
      </c>
      <c r="LT23">
        <f t="shared" ca="1" si="29"/>
        <v>9.9098686707664818</v>
      </c>
      <c r="LU23">
        <f t="shared" ca="1" si="29"/>
        <v>9.9115827055214147</v>
      </c>
      <c r="LV23">
        <f t="shared" ca="1" si="29"/>
        <v>9.9100883627993213</v>
      </c>
      <c r="LW23">
        <f t="shared" ca="1" si="29"/>
        <v>9.9081110684507117</v>
      </c>
      <c r="LX23">
        <f t="shared" ca="1" si="29"/>
        <v>9.9049805898186509</v>
      </c>
      <c r="LY23">
        <f t="shared" ca="1" si="29"/>
        <v>9.9102521701521482</v>
      </c>
      <c r="LZ23">
        <f t="shared" ca="1" si="29"/>
        <v>9.9094616354988183</v>
      </c>
      <c r="MA23">
        <f t="shared" ca="1" si="29"/>
        <v>9.916176942180952</v>
      </c>
      <c r="MB23">
        <f t="shared" ca="1" si="29"/>
        <v>9.9045729941109091</v>
      </c>
      <c r="MC23">
        <f t="shared" ca="1" si="29"/>
        <v>9.911220579641741</v>
      </c>
      <c r="MD23">
        <f t="shared" ca="1" si="29"/>
        <v>9.9085893704231562</v>
      </c>
      <c r="ME23">
        <f t="shared" ca="1" si="29"/>
        <v>9.9112255822094948</v>
      </c>
      <c r="MF23">
        <f t="shared" ca="1" si="29"/>
        <v>9.908556855884429</v>
      </c>
      <c r="MG23">
        <f t="shared" ca="1" si="29"/>
        <v>9.9135574899694809</v>
      </c>
      <c r="MH23">
        <f t="shared" ca="1" si="29"/>
        <v>9.9137916346120551</v>
      </c>
      <c r="MI23">
        <f t="shared" ca="1" si="29"/>
        <v>9.9066734777355485</v>
      </c>
      <c r="MJ23">
        <f t="shared" ca="1" si="29"/>
        <v>9.9098413033308645</v>
      </c>
      <c r="MK23">
        <f t="shared" ca="1" si="29"/>
        <v>9.9122901950791817</v>
      </c>
      <c r="ML23">
        <f t="shared" ca="1" si="29"/>
        <v>9.9080314534848544</v>
      </c>
      <c r="MM23">
        <f t="shared" ca="1" si="29"/>
        <v>9.9071069216078858</v>
      </c>
      <c r="MN23">
        <f t="shared" ca="1" si="29"/>
        <v>9.9100221550201901</v>
      </c>
      <c r="MO23">
        <f t="shared" ca="1" si="29"/>
        <v>9.9091347968147563</v>
      </c>
      <c r="MP23">
        <f t="shared" ca="1" si="29"/>
        <v>9.9104477229213384</v>
      </c>
      <c r="MQ23">
        <f t="shared" ca="1" si="29"/>
        <v>9.908445416067341</v>
      </c>
      <c r="MR23">
        <f t="shared" ca="1" si="29"/>
        <v>9.9131542654474778</v>
      </c>
      <c r="MS23">
        <f t="shared" ca="1" si="29"/>
        <v>9.9110625769563256</v>
      </c>
      <c r="MT23">
        <f t="shared" ca="1" si="29"/>
        <v>9.9100157764547916</v>
      </c>
      <c r="MU23">
        <f t="shared" ca="1" si="29"/>
        <v>9.9129071612602466</v>
      </c>
      <c r="MV23">
        <f t="shared" ca="1" si="29"/>
        <v>9.9066532625220738</v>
      </c>
      <c r="MW23">
        <f t="shared" ca="1" si="29"/>
        <v>9.9101392021189518</v>
      </c>
      <c r="MX23">
        <f t="shared" ca="1" si="29"/>
        <v>9.9123010335003414</v>
      </c>
      <c r="MY23">
        <f t="shared" ca="1" si="29"/>
        <v>9.9136068237226613</v>
      </c>
      <c r="MZ23">
        <f t="shared" ca="1" si="29"/>
        <v>9.9097122234821136</v>
      </c>
      <c r="NA23">
        <f t="shared" ca="1" si="29"/>
        <v>9.9115131954896807</v>
      </c>
      <c r="NB23">
        <f t="shared" ca="1" si="29"/>
        <v>9.9134596834487159</v>
      </c>
      <c r="NC23">
        <f t="shared" ca="1" si="29"/>
        <v>9.9082113433733028</v>
      </c>
      <c r="ND23">
        <f t="shared" ca="1" si="29"/>
        <v>9.911102948433804</v>
      </c>
      <c r="NE23">
        <f t="shared" ca="1" si="29"/>
        <v>9.9113604732142928</v>
      </c>
      <c r="NF23">
        <f t="shared" ca="1" si="29"/>
        <v>9.9058827751455798</v>
      </c>
      <c r="NG23">
        <f t="shared" ca="1" si="29"/>
        <v>9.9098708278814929</v>
      </c>
      <c r="NH23">
        <f t="shared" ca="1" si="29"/>
        <v>9.90403387706505</v>
      </c>
      <c r="NI23">
        <f t="shared" ca="1" si="29"/>
        <v>9.9074580299503907</v>
      </c>
      <c r="NJ23">
        <f t="shared" ca="1" si="29"/>
        <v>9.9033431913712011</v>
      </c>
      <c r="NK23">
        <f t="shared" ca="1" si="29"/>
        <v>9.9107018129288527</v>
      </c>
      <c r="NL23">
        <f t="shared" ca="1" si="29"/>
        <v>9.9075884373452929</v>
      </c>
      <c r="NM23">
        <f t="shared" ca="1" si="29"/>
        <v>9.9058786158927621</v>
      </c>
      <c r="NN23">
        <f t="shared" ca="1" si="29"/>
        <v>9.9116612338452708</v>
      </c>
      <c r="NO23">
        <f t="shared" ca="1" si="29"/>
        <v>9.9094558726179436</v>
      </c>
      <c r="NP23">
        <f t="shared" ca="1" si="29"/>
        <v>9.9080868774575777</v>
      </c>
      <c r="NQ23">
        <f t="shared" ca="1" si="29"/>
        <v>9.9088220291266573</v>
      </c>
      <c r="NR23">
        <f t="shared" ca="1" si="29"/>
        <v>9.9130681816014441</v>
      </c>
      <c r="NS23">
        <f t="shared" ca="1" si="29"/>
        <v>9.9098197545552242</v>
      </c>
      <c r="NT23">
        <f t="shared" ca="1" si="29"/>
        <v>9.9080102938565222</v>
      </c>
      <c r="NU23">
        <f t="shared" ca="1" si="29"/>
        <v>9.911460712447175</v>
      </c>
      <c r="NV23">
        <f t="shared" ca="1" si="29"/>
        <v>9.910584712212998</v>
      </c>
      <c r="NW23">
        <f t="shared" ca="1" si="29"/>
        <v>9.9137717714759521</v>
      </c>
      <c r="NX23">
        <f t="shared" ca="1" si="29"/>
        <v>9.9086408778452011</v>
      </c>
      <c r="NY23">
        <f t="shared" ca="1" si="29"/>
        <v>9.9111063397216714</v>
      </c>
      <c r="NZ23">
        <f t="shared" ca="1" si="26"/>
        <v>9.908740622441881</v>
      </c>
      <c r="OA23">
        <f t="shared" ca="1" si="26"/>
        <v>9.9105487701094095</v>
      </c>
      <c r="OB23">
        <f t="shared" ca="1" si="26"/>
        <v>9.9112796984625575</v>
      </c>
      <c r="OC23">
        <f t="shared" ca="1" si="26"/>
        <v>9.9110962572575492</v>
      </c>
      <c r="OD23">
        <f t="shared" ca="1" si="26"/>
        <v>9.9139977058259561</v>
      </c>
      <c r="OE23">
        <f t="shared" ca="1" si="26"/>
        <v>9.912304177732647</v>
      </c>
      <c r="OF23">
        <f t="shared" ca="1" si="26"/>
        <v>9.9170123481012808</v>
      </c>
      <c r="OG23">
        <f t="shared" ca="1" si="26"/>
        <v>9.9117630122986391</v>
      </c>
      <c r="OH23">
        <f t="shared" ca="1" si="26"/>
        <v>9.9097056660031253</v>
      </c>
      <c r="OI23">
        <f t="shared" ca="1" si="26"/>
        <v>9.9126603189930105</v>
      </c>
      <c r="OJ23">
        <f t="shared" ca="1" si="26"/>
        <v>9.904257959950268</v>
      </c>
      <c r="OK23">
        <f t="shared" ca="1" si="26"/>
        <v>9.9118721635495142</v>
      </c>
      <c r="OL23">
        <f t="shared" ca="1" si="26"/>
        <v>9.9102248024699389</v>
      </c>
      <c r="OM23">
        <f t="shared" ca="1" si="26"/>
        <v>9.9105951975358071</v>
      </c>
      <c r="ON23">
        <f t="shared" ca="1" si="26"/>
        <v>9.9045626649455514</v>
      </c>
      <c r="OO23">
        <f t="shared" ca="1" si="26"/>
        <v>9.9088426466322961</v>
      </c>
      <c r="OP23">
        <f t="shared" ca="1" si="26"/>
        <v>9.9134484385689277</v>
      </c>
      <c r="OQ23">
        <f t="shared" ca="1" si="26"/>
        <v>9.9091641725461486</v>
      </c>
      <c r="OR23">
        <f t="shared" ca="1" si="26"/>
        <v>9.9089384607073097</v>
      </c>
      <c r="OS23">
        <f t="shared" ca="1" si="26"/>
        <v>9.9111913173618387</v>
      </c>
      <c r="OT23">
        <f t="shared" ca="1" si="26"/>
        <v>9.9149914051289052</v>
      </c>
      <c r="OU23">
        <f t="shared" ca="1" si="26"/>
        <v>9.9092530928515323</v>
      </c>
      <c r="OV23">
        <f t="shared" ca="1" si="26"/>
        <v>9.9063375235041171</v>
      </c>
      <c r="OW23">
        <f t="shared" ca="1" si="26"/>
        <v>9.9063919973753443</v>
      </c>
      <c r="OX23">
        <f t="shared" ca="1" si="26"/>
        <v>9.9046682384840885</v>
      </c>
      <c r="OY23">
        <f t="shared" ca="1" si="26"/>
        <v>9.9096395749690362</v>
      </c>
      <c r="OZ23">
        <f t="shared" ca="1" si="26"/>
        <v>9.9096385065134367</v>
      </c>
      <c r="PA23">
        <f t="shared" ca="1" si="26"/>
        <v>9.9092585587554982</v>
      </c>
      <c r="PB23">
        <f t="shared" ca="1" si="26"/>
        <v>9.9103730714922165</v>
      </c>
      <c r="PC23">
        <f t="shared" ca="1" si="26"/>
        <v>9.9120809777848429</v>
      </c>
      <c r="PD23">
        <f t="shared" ca="1" si="26"/>
        <v>9.916507734264183</v>
      </c>
      <c r="PE23">
        <f t="shared" ca="1" si="26"/>
        <v>9.9078477330425319</v>
      </c>
      <c r="PF23">
        <f t="shared" ca="1" si="26"/>
        <v>9.911212264238344</v>
      </c>
      <c r="PG23">
        <f t="shared" ca="1" si="26"/>
        <v>9.9072535820282823</v>
      </c>
      <c r="PH23">
        <f t="shared" ca="1" si="26"/>
        <v>9.9073406728783588</v>
      </c>
      <c r="PI23">
        <f t="shared" ca="1" si="26"/>
        <v>9.9041182771887541</v>
      </c>
      <c r="PJ23">
        <f t="shared" ca="1" si="26"/>
        <v>9.911674289700537</v>
      </c>
      <c r="PK23">
        <f t="shared" ca="1" si="26"/>
        <v>9.9101545416063832</v>
      </c>
      <c r="PL23">
        <f t="shared" ca="1" si="26"/>
        <v>9.9101880235822666</v>
      </c>
      <c r="PM23">
        <f t="shared" ca="1" si="26"/>
        <v>9.9109095351696297</v>
      </c>
      <c r="PN23">
        <f t="shared" ca="1" si="26"/>
        <v>9.9117504026177787</v>
      </c>
      <c r="PO23">
        <f t="shared" ca="1" si="26"/>
        <v>9.9086736528280568</v>
      </c>
      <c r="PP23">
        <f t="shared" ca="1" si="26"/>
        <v>9.9144399629069042</v>
      </c>
      <c r="PQ23">
        <f t="shared" ca="1" si="26"/>
        <v>9.9064855144520507</v>
      </c>
      <c r="PR23">
        <f t="shared" ca="1" si="26"/>
        <v>9.9148755707635434</v>
      </c>
      <c r="PS23">
        <f t="shared" ca="1" si="26"/>
        <v>9.9135698727844481</v>
      </c>
      <c r="PT23">
        <f t="shared" ca="1" si="26"/>
        <v>9.9087571171189275</v>
      </c>
      <c r="PU23">
        <f t="shared" ca="1" si="26"/>
        <v>9.9077310441428796</v>
      </c>
      <c r="PV23">
        <f t="shared" ca="1" si="26"/>
        <v>9.9089236401324019</v>
      </c>
      <c r="PW23">
        <f t="shared" ca="1" si="26"/>
        <v>9.9094443647611445</v>
      </c>
      <c r="PX23">
        <f t="shared" ca="1" si="26"/>
        <v>9.9107583810102202</v>
      </c>
      <c r="PY23">
        <f t="shared" ca="1" si="26"/>
        <v>9.9113041736339138</v>
      </c>
      <c r="PZ23">
        <f t="shared" ca="1" si="26"/>
        <v>9.9056215524329101</v>
      </c>
      <c r="QA23">
        <f t="shared" ca="1" si="26"/>
        <v>9.9102110230361937</v>
      </c>
      <c r="QB23">
        <f t="shared" ca="1" si="26"/>
        <v>9.9085557722831279</v>
      </c>
      <c r="QC23">
        <f t="shared" ca="1" si="26"/>
        <v>9.9136887704478323</v>
      </c>
      <c r="QD23">
        <f t="shared" ca="1" si="26"/>
        <v>9.9086488974816582</v>
      </c>
      <c r="QE23">
        <f t="shared" ca="1" si="26"/>
        <v>9.9118053325700171</v>
      </c>
      <c r="QF23">
        <f t="shared" ca="1" si="26"/>
        <v>9.9111855095347234</v>
      </c>
      <c r="QG23">
        <f t="shared" ca="1" si="26"/>
        <v>9.907092942533021</v>
      </c>
      <c r="QH23">
        <f t="shared" ca="1" si="26"/>
        <v>9.9118235928565159</v>
      </c>
      <c r="QI23">
        <f t="shared" ca="1" si="26"/>
        <v>9.913407105923854</v>
      </c>
      <c r="QJ23">
        <f t="shared" ca="1" si="26"/>
        <v>9.9072399818796697</v>
      </c>
      <c r="QK23">
        <f t="shared" ca="1" si="22"/>
        <v>9.9094405746505156</v>
      </c>
      <c r="QL23">
        <f t="shared" ca="1" si="22"/>
        <v>9.9052943334971069</v>
      </c>
      <c r="QM23">
        <f t="shared" ca="1" si="22"/>
        <v>9.9113141293864579</v>
      </c>
      <c r="QN23">
        <f t="shared" ca="1" si="22"/>
        <v>9.9110185361989878</v>
      </c>
      <c r="QO23">
        <f t="shared" ca="1" si="22"/>
        <v>9.9073553461636674</v>
      </c>
      <c r="QP23">
        <f t="shared" ca="1" si="22"/>
        <v>9.9107999326666558</v>
      </c>
      <c r="QQ23">
        <f t="shared" ca="1" si="22"/>
        <v>9.9108252052307826</v>
      </c>
      <c r="QR23">
        <f t="shared" ca="1" si="22"/>
        <v>9.9083914980428265</v>
      </c>
      <c r="QS23">
        <f t="shared" ca="1" si="22"/>
        <v>9.908220146591276</v>
      </c>
      <c r="QT23">
        <f t="shared" ca="1" si="22"/>
        <v>9.9068133031512513</v>
      </c>
      <c r="QU23">
        <f t="shared" ca="1" si="22"/>
        <v>9.9111241182960352</v>
      </c>
      <c r="QV23">
        <f t="shared" ca="1" si="22"/>
        <v>9.9165495642987356</v>
      </c>
      <c r="QW23">
        <f t="shared" ca="1" si="22"/>
        <v>9.9127595808608344</v>
      </c>
      <c r="QX23">
        <f t="shared" ca="1" si="22"/>
        <v>9.9089017084899531</v>
      </c>
      <c r="QY23">
        <f t="shared" ca="1" si="22"/>
        <v>9.9110245221333422</v>
      </c>
      <c r="QZ23">
        <f t="shared" ca="1" si="22"/>
        <v>9.910680260419797</v>
      </c>
      <c r="RA23">
        <f t="shared" ca="1" si="22"/>
        <v>9.9081180214622719</v>
      </c>
      <c r="RB23">
        <f t="shared" ca="1" si="22"/>
        <v>9.9109529848196978</v>
      </c>
      <c r="RC23">
        <f t="shared" ca="1" si="22"/>
        <v>9.9078598397159645</v>
      </c>
      <c r="RD23">
        <f t="shared" ca="1" si="22"/>
        <v>9.9152459831416824</v>
      </c>
      <c r="RE23">
        <f t="shared" ca="1" si="22"/>
        <v>9.9136540933551505</v>
      </c>
      <c r="RF23">
        <f t="shared" ca="1" si="22"/>
        <v>9.9103607284066335</v>
      </c>
      <c r="RG23">
        <f t="shared" ca="1" si="22"/>
        <v>9.9048740272235989</v>
      </c>
      <c r="RH23">
        <f t="shared" ca="1" si="22"/>
        <v>9.9036231426740944</v>
      </c>
      <c r="RI23">
        <f t="shared" ca="1" si="22"/>
        <v>9.9115504899044335</v>
      </c>
      <c r="RJ23">
        <f t="shared" ca="1" si="22"/>
        <v>9.9043833759655655</v>
      </c>
      <c r="RK23">
        <f t="shared" ca="1" si="22"/>
        <v>9.9060435774342395</v>
      </c>
      <c r="RL23">
        <f t="shared" ca="1" si="22"/>
        <v>9.9070860101400022</v>
      </c>
      <c r="RM23">
        <f t="shared" ca="1" si="22"/>
        <v>9.9106262555248197</v>
      </c>
      <c r="RN23">
        <f t="shared" ca="1" si="22"/>
        <v>9.910812607702228</v>
      </c>
      <c r="RO23">
        <f t="shared" ca="1" si="22"/>
        <v>9.9067579112567739</v>
      </c>
      <c r="RP23">
        <f t="shared" ca="1" si="22"/>
        <v>9.9114123077460405</v>
      </c>
      <c r="RQ23">
        <f t="shared" ca="1" si="22"/>
        <v>9.9071979372165053</v>
      </c>
      <c r="RR23">
        <f t="shared" ca="1" si="22"/>
        <v>9.9150053142930048</v>
      </c>
      <c r="RS23">
        <f t="shared" ca="1" si="22"/>
        <v>9.9091250284968773</v>
      </c>
      <c r="RT23">
        <f t="shared" ca="1" si="22"/>
        <v>9.9118375164282302</v>
      </c>
      <c r="RU23">
        <f t="shared" ca="1" si="22"/>
        <v>9.9082243152358593</v>
      </c>
      <c r="RV23">
        <f t="shared" ca="1" si="22"/>
        <v>9.9079441039596645</v>
      </c>
      <c r="RW23">
        <f t="shared" ca="1" si="22"/>
        <v>9.9118892401771337</v>
      </c>
      <c r="RX23">
        <f t="shared" ca="1" si="22"/>
        <v>9.9117506872227921</v>
      </c>
      <c r="RY23">
        <f t="shared" ca="1" si="22"/>
        <v>9.9098117385054252</v>
      </c>
      <c r="RZ23">
        <f t="shared" ca="1" si="22"/>
        <v>9.9116510763836381</v>
      </c>
      <c r="SA23">
        <f t="shared" ca="1" si="22"/>
        <v>9.911296220388083</v>
      </c>
      <c r="SB23">
        <f t="shared" ca="1" si="22"/>
        <v>9.9068607565441269</v>
      </c>
      <c r="SC23">
        <f t="shared" ca="1" si="22"/>
        <v>9.9125568019643371</v>
      </c>
      <c r="SD23">
        <f t="shared" ca="1" si="22"/>
        <v>9.9083462722958924</v>
      </c>
      <c r="SE23">
        <f t="shared" ca="1" si="22"/>
        <v>9.907608873781804</v>
      </c>
      <c r="SF23">
        <f t="shared" ca="1" si="22"/>
        <v>9.9131544680749784</v>
      </c>
      <c r="SG23">
        <f t="shared" ca="1" si="22"/>
        <v>9.9100009586343791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EA79-6D50-4AA6-ADCA-0A2966BF2B54}">
  <dimension ref="A1:SG23"/>
  <sheetViews>
    <sheetView tabSelected="1" topLeftCell="Y1" workbookViewId="0">
      <selection activeCell="F4" sqref="F4"/>
    </sheetView>
  </sheetViews>
  <sheetFormatPr defaultRowHeight="14.4" x14ac:dyDescent="0.3"/>
  <cols>
    <col min="1" max="1" width="10.44140625" style="1" bestFit="1" customWidth="1"/>
    <col min="3" max="3" width="9.21875" bestFit="1" customWidth="1"/>
  </cols>
  <sheetData>
    <row r="1" spans="1:501" x14ac:dyDescent="0.3">
      <c r="A1" t="s">
        <v>0</v>
      </c>
      <c r="B1" t="s">
        <v>1</v>
      </c>
      <c r="C1" t="s">
        <v>98</v>
      </c>
      <c r="D1" t="s">
        <v>3</v>
      </c>
      <c r="E1" s="3" t="s">
        <v>99</v>
      </c>
      <c r="F1" s="3" t="s">
        <v>100</v>
      </c>
      <c r="G1" s="4" t="s">
        <v>101</v>
      </c>
      <c r="H1" s="5" t="s">
        <v>102</v>
      </c>
      <c r="I1" s="6" t="s">
        <v>103</v>
      </c>
      <c r="J1" t="s">
        <v>118</v>
      </c>
      <c r="K1" s="8" t="s">
        <v>105</v>
      </c>
      <c r="L1" t="s">
        <v>106</v>
      </c>
      <c r="M1" t="s">
        <v>107</v>
      </c>
      <c r="O1" t="s">
        <v>120</v>
      </c>
    </row>
    <row r="2" spans="1:501" x14ac:dyDescent="0.3">
      <c r="A2" s="1">
        <v>45847</v>
      </c>
      <c r="B2">
        <v>9.8699999999999992</v>
      </c>
      <c r="C2">
        <v>56.57</v>
      </c>
      <c r="D2">
        <v>-1.2E-2</v>
      </c>
      <c r="E2">
        <f>'In-Sample'!E141</f>
        <v>-1.2084739215071999E-2</v>
      </c>
      <c r="F2">
        <f>'In-Sample'!F141</f>
        <v>-1.4446275090020905E-3</v>
      </c>
      <c r="G2">
        <f>'In-Sample'!G141</f>
        <v>1.3827991854618553E-2</v>
      </c>
      <c r="H2">
        <f>'In-Sample'!H141</f>
        <v>1.9175974487894453E-3</v>
      </c>
      <c r="I2">
        <f>'In-Sample'!I141</f>
        <v>-1.4464660989898924E-3</v>
      </c>
      <c r="M2">
        <f ca="1">AVERAGE(L3:L11)</f>
        <v>1.8486659543668479E-3</v>
      </c>
      <c r="O2">
        <v>0.6</v>
      </c>
    </row>
    <row r="3" spans="1:501" x14ac:dyDescent="0.3">
      <c r="A3" s="1" t="s">
        <v>88</v>
      </c>
      <c r="B3">
        <v>9.8000000000000007</v>
      </c>
      <c r="C3">
        <v>33.54</v>
      </c>
      <c r="D3">
        <v>-7.1000000000000004E-3</v>
      </c>
      <c r="E3">
        <f>'In-Sample'!E142</f>
        <v>-7.1174677688638785E-3</v>
      </c>
      <c r="F3">
        <f>'In-Sample'!F142</f>
        <v>-1.5090695277210678E-3</v>
      </c>
      <c r="G3">
        <f>'In-Sample'!G142</f>
        <v>1.3846819876785642E-2</v>
      </c>
      <c r="H3">
        <f>'In-Sample'!H142</f>
        <v>1.9202084256870998E-3</v>
      </c>
      <c r="I3">
        <f>'In-Sample'!I142</f>
        <v>-1.5109131279201077E-3</v>
      </c>
      <c r="J3">
        <f>$O$2/B2</f>
        <v>6.0790273556231005E-2</v>
      </c>
      <c r="K3">
        <f t="shared" ref="K3:K11" ca="1" si="0">AVERAGE(B15:SG15)</f>
        <v>9.8581624685135214</v>
      </c>
      <c r="L3">
        <f t="shared" ref="L3:L11" ca="1" si="1">(B3-K3)/B3</f>
        <v>-5.9349457666857848E-3</v>
      </c>
      <c r="M3" s="14"/>
    </row>
    <row r="4" spans="1:501" x14ac:dyDescent="0.3">
      <c r="A4" s="1" t="s">
        <v>89</v>
      </c>
      <c r="B4">
        <v>9.89</v>
      </c>
      <c r="C4">
        <v>50.26</v>
      </c>
      <c r="D4">
        <v>9.1999999999999998E-3</v>
      </c>
      <c r="E4">
        <f>'In-Sample'!E143</f>
        <v>9.1417599580945093E-3</v>
      </c>
      <c r="F4">
        <f>'In-Sample'!F143</f>
        <v>-1.1509829140164862E-3</v>
      </c>
      <c r="G4">
        <f>'In-Sample'!G143</f>
        <v>1.3877412993345967E-2</v>
      </c>
      <c r="H4">
        <f>'In-Sample'!H143</f>
        <v>1.9244509276268881E-3</v>
      </c>
      <c r="I4">
        <f>'In-Sample'!I143</f>
        <v>-1.1528346697029083E-3</v>
      </c>
      <c r="J4">
        <f t="shared" ref="J4:J11" si="2">$O$2/B3</f>
        <v>6.1224489795918359E-2</v>
      </c>
      <c r="K4">
        <f t="shared" ca="1" si="0"/>
        <v>9.7882539586411674</v>
      </c>
      <c r="L4">
        <f t="shared" ca="1" si="1"/>
        <v>1.028776960149981E-2</v>
      </c>
    </row>
    <row r="5" spans="1:501" x14ac:dyDescent="0.3">
      <c r="A5" s="1" t="s">
        <v>90</v>
      </c>
      <c r="B5">
        <v>10</v>
      </c>
      <c r="C5">
        <v>54.95</v>
      </c>
      <c r="D5">
        <v>1.11E-2</v>
      </c>
      <c r="E5">
        <f>'In-Sample'!E144</f>
        <v>1.1060947359424976E-2</v>
      </c>
      <c r="F5">
        <f>'In-Sample'!F144</f>
        <v>-9.3827238787369831E-4</v>
      </c>
      <c r="G5">
        <f>'In-Sample'!G144</f>
        <v>1.3979793443020059E-2</v>
      </c>
      <c r="H5">
        <f>'In-Sample'!H144</f>
        <v>1.9386485415078497E-3</v>
      </c>
      <c r="I5">
        <f>'In-Sample'!I144</f>
        <v>-9.4015156695744352E-4</v>
      </c>
      <c r="J5">
        <f t="shared" si="2"/>
        <v>6.0667340748230533E-2</v>
      </c>
      <c r="K5">
        <f t="shared" ca="1" si="0"/>
        <v>9.8781998524091961</v>
      </c>
      <c r="L5">
        <f t="shared" ca="1" si="1"/>
        <v>1.2180014759080393E-2</v>
      </c>
    </row>
    <row r="6" spans="1:501" x14ac:dyDescent="0.3">
      <c r="A6" s="1">
        <v>45787</v>
      </c>
      <c r="B6">
        <v>9.9499999999999993</v>
      </c>
      <c r="C6">
        <v>37.35</v>
      </c>
      <c r="D6">
        <v>-5.0000000000000001E-3</v>
      </c>
      <c r="E6">
        <f>'In-Sample'!E145</f>
        <v>-5.0125418235443982E-3</v>
      </c>
      <c r="F6">
        <f>'In-Sample'!F145</f>
        <v>-1.1442447520695097E-3</v>
      </c>
      <c r="G6">
        <f>'In-Sample'!G145</f>
        <v>1.3958986886799286E-2</v>
      </c>
      <c r="H6">
        <f>'In-Sample'!H145</f>
        <v>1.9357631913032411E-3</v>
      </c>
      <c r="I6">
        <f>'In-Sample'!I145</f>
        <v>-1.1461183416359121E-3</v>
      </c>
      <c r="J6">
        <f t="shared" si="2"/>
        <v>0.06</v>
      </c>
      <c r="K6">
        <f t="shared" ca="1" si="0"/>
        <v>9.9880983320163619</v>
      </c>
      <c r="L6">
        <f t="shared" ca="1" si="1"/>
        <v>-3.8289780920967432E-3</v>
      </c>
    </row>
    <row r="7" spans="1:501" x14ac:dyDescent="0.3">
      <c r="A7" s="1">
        <v>46001</v>
      </c>
      <c r="B7">
        <v>9.89</v>
      </c>
      <c r="C7">
        <v>53.41</v>
      </c>
      <c r="D7">
        <v>-6.0000000000000001E-3</v>
      </c>
      <c r="E7">
        <f>'In-Sample'!E146</f>
        <v>-6.0484055358804812E-3</v>
      </c>
      <c r="F7">
        <f>'In-Sample'!F146</f>
        <v>-1.4418129442899633E-3</v>
      </c>
      <c r="G7">
        <f>'In-Sample'!G146</f>
        <v>1.3894034207366939E-2</v>
      </c>
      <c r="H7">
        <f>'In-Sample'!H146</f>
        <v>1.9267558752966219E-3</v>
      </c>
      <c r="I7">
        <f>'In-Sample'!I146</f>
        <v>-1.4436691383914583E-3</v>
      </c>
      <c r="J7">
        <f t="shared" si="2"/>
        <v>6.0301507537688447E-2</v>
      </c>
      <c r="K7">
        <f t="shared" ca="1" si="0"/>
        <v>9.9381108128875191</v>
      </c>
      <c r="L7">
        <f t="shared" ca="1" si="1"/>
        <v>-4.8645917985357433E-3</v>
      </c>
    </row>
    <row r="8" spans="1:501" x14ac:dyDescent="0.3">
      <c r="A8" s="1" t="s">
        <v>91</v>
      </c>
      <c r="B8">
        <v>9.9</v>
      </c>
      <c r="C8">
        <v>43.01</v>
      </c>
      <c r="D8">
        <v>1E-3</v>
      </c>
      <c r="E8">
        <f>'In-Sample'!E147</f>
        <v>1.0106115059234598E-3</v>
      </c>
      <c r="F8">
        <f>'In-Sample'!F147</f>
        <v>-1.2046689610129291E-3</v>
      </c>
      <c r="G8">
        <f>'In-Sample'!G147</f>
        <v>1.3827188110071628E-2</v>
      </c>
      <c r="H8">
        <f>'In-Sample'!H147</f>
        <v>1.9174859894749718E-3</v>
      </c>
      <c r="I8">
        <f>'In-Sample'!I147</f>
        <v>-1.2065073372728454E-3</v>
      </c>
      <c r="J8">
        <f t="shared" si="2"/>
        <v>6.0667340748230533E-2</v>
      </c>
      <c r="K8">
        <f t="shared" ca="1" si="0"/>
        <v>9.8781082933947602</v>
      </c>
      <c r="L8">
        <f t="shared" ca="1" si="1"/>
        <v>2.2112834954788082E-3</v>
      </c>
    </row>
    <row r="9" spans="1:501" x14ac:dyDescent="0.3">
      <c r="A9" s="1" t="s">
        <v>92</v>
      </c>
      <c r="B9">
        <v>9.8699999999999992</v>
      </c>
      <c r="C9">
        <v>47.13</v>
      </c>
      <c r="D9">
        <v>-3.0000000000000001E-3</v>
      </c>
      <c r="E9">
        <f>'In-Sample'!E148</f>
        <v>-3.0349036951541584E-3</v>
      </c>
      <c r="F9">
        <f>'In-Sample'!F148</f>
        <v>-1.0058837058064861E-3</v>
      </c>
      <c r="G9">
        <f>'In-Sample'!G148</f>
        <v>1.3722748458417961E-2</v>
      </c>
      <c r="H9">
        <f>'In-Sample'!H148</f>
        <v>1.9030028156584761E-3</v>
      </c>
      <c r="I9">
        <f>'In-Sample'!I148</f>
        <v>-1.0076944156646882E-3</v>
      </c>
      <c r="J9">
        <f t="shared" si="2"/>
        <v>6.0606060606060601E-2</v>
      </c>
      <c r="K9">
        <f t="shared" ca="1" si="0"/>
        <v>9.8882030843109519</v>
      </c>
      <c r="L9">
        <f t="shared" ca="1" si="1"/>
        <v>-1.8442841247165789E-3</v>
      </c>
    </row>
    <row r="10" spans="1:501" x14ac:dyDescent="0.3">
      <c r="A10" s="1">
        <v>45699</v>
      </c>
      <c r="B10">
        <v>9.91</v>
      </c>
      <c r="C10">
        <v>56.07</v>
      </c>
      <c r="D10">
        <v>4.1000000000000003E-3</v>
      </c>
      <c r="E10">
        <f>'In-Sample'!E149</f>
        <v>4.0444948965064438E-3</v>
      </c>
      <c r="F10">
        <f>'In-Sample'!F149</f>
        <v>-1.1121328619534904E-3</v>
      </c>
      <c r="G10">
        <f>'In-Sample'!G149</f>
        <v>1.3660510343812229E-2</v>
      </c>
      <c r="H10">
        <f>'In-Sample'!H149</f>
        <v>1.8943719420623541E-3</v>
      </c>
      <c r="I10">
        <f>'In-Sample'!I149</f>
        <v>-1.1139271844809269E-3</v>
      </c>
      <c r="J10">
        <f t="shared" si="2"/>
        <v>6.0790273556231005E-2</v>
      </c>
      <c r="K10">
        <f t="shared" ca="1" si="0"/>
        <v>9.858239034228518</v>
      </c>
      <c r="L10">
        <f t="shared" ca="1" si="1"/>
        <v>5.2231045178084915E-3</v>
      </c>
    </row>
    <row r="11" spans="1:501" x14ac:dyDescent="0.3">
      <c r="A11" s="1">
        <v>45911</v>
      </c>
      <c r="B11">
        <v>9.93</v>
      </c>
      <c r="C11">
        <v>47.19</v>
      </c>
      <c r="D11">
        <v>2E-3</v>
      </c>
      <c r="E11">
        <f>'In-Sample'!E150</f>
        <v>2.0161297151844956E-3</v>
      </c>
      <c r="F11">
        <f>'In-Sample'!F150</f>
        <v>-8.1522613027415827E-4</v>
      </c>
      <c r="G11">
        <f>'In-Sample'!G150</f>
        <v>1.3555066178580752E-2</v>
      </c>
      <c r="H11">
        <f>'In-Sample'!H150</f>
        <v>1.8797494672761776E-3</v>
      </c>
      <c r="I11">
        <f>'In-Sample'!I150</f>
        <v>-8.1699285930402084E-4</v>
      </c>
      <c r="J11">
        <f t="shared" si="2"/>
        <v>6.0544904137235116E-2</v>
      </c>
      <c r="K11">
        <f t="shared" ca="1" si="0"/>
        <v>9.8981383934951328</v>
      </c>
      <c r="L11">
        <f t="shared" ca="1" si="1"/>
        <v>3.2086209974689743E-3</v>
      </c>
    </row>
    <row r="13" spans="1:501" x14ac:dyDescent="0.3">
      <c r="A13" s="1" t="s">
        <v>104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  <c r="AF13">
        <v>31</v>
      </c>
      <c r="AG13">
        <v>32</v>
      </c>
      <c r="AH13">
        <v>33</v>
      </c>
      <c r="AI13">
        <v>34</v>
      </c>
      <c r="AJ13">
        <v>35</v>
      </c>
      <c r="AK13">
        <v>36</v>
      </c>
      <c r="AL13">
        <v>37</v>
      </c>
      <c r="AM13">
        <v>38</v>
      </c>
      <c r="AN13">
        <v>39</v>
      </c>
      <c r="AO13">
        <v>40</v>
      </c>
      <c r="AP13">
        <v>41</v>
      </c>
      <c r="AQ13">
        <v>42</v>
      </c>
      <c r="AR13">
        <v>43</v>
      </c>
      <c r="AS13">
        <v>44</v>
      </c>
      <c r="AT13">
        <v>45</v>
      </c>
      <c r="AU13">
        <v>46</v>
      </c>
      <c r="AV13">
        <v>47</v>
      </c>
      <c r="AW13">
        <v>48</v>
      </c>
      <c r="AX13">
        <v>49</v>
      </c>
      <c r="AY13">
        <v>50</v>
      </c>
      <c r="AZ13">
        <v>51</v>
      </c>
      <c r="BA13">
        <v>52</v>
      </c>
      <c r="BB13">
        <v>53</v>
      </c>
      <c r="BC13">
        <v>54</v>
      </c>
      <c r="BD13">
        <v>55</v>
      </c>
      <c r="BE13">
        <v>56</v>
      </c>
      <c r="BF13">
        <v>57</v>
      </c>
      <c r="BG13">
        <v>58</v>
      </c>
      <c r="BH13">
        <v>59</v>
      </c>
      <c r="BI13">
        <v>60</v>
      </c>
      <c r="BJ13">
        <v>61</v>
      </c>
      <c r="BK13">
        <v>62</v>
      </c>
      <c r="BL13">
        <v>63</v>
      </c>
      <c r="BM13">
        <v>64</v>
      </c>
      <c r="BN13">
        <v>65</v>
      </c>
      <c r="BO13">
        <v>66</v>
      </c>
      <c r="BP13">
        <v>67</v>
      </c>
      <c r="BQ13">
        <v>68</v>
      </c>
      <c r="BR13">
        <v>69</v>
      </c>
      <c r="BS13">
        <v>70</v>
      </c>
      <c r="BT13">
        <v>71</v>
      </c>
      <c r="BU13">
        <v>72</v>
      </c>
      <c r="BV13">
        <v>73</v>
      </c>
      <c r="BW13">
        <v>74</v>
      </c>
      <c r="BX13">
        <v>75</v>
      </c>
      <c r="BY13">
        <v>76</v>
      </c>
      <c r="BZ13">
        <v>77</v>
      </c>
      <c r="CA13">
        <v>78</v>
      </c>
      <c r="CB13">
        <v>79</v>
      </c>
      <c r="CC13">
        <v>80</v>
      </c>
      <c r="CD13">
        <v>81</v>
      </c>
      <c r="CE13">
        <v>82</v>
      </c>
      <c r="CF13">
        <v>83</v>
      </c>
      <c r="CG13">
        <v>84</v>
      </c>
      <c r="CH13">
        <v>85</v>
      </c>
      <c r="CI13">
        <v>86</v>
      </c>
      <c r="CJ13">
        <v>87</v>
      </c>
      <c r="CK13">
        <v>88</v>
      </c>
      <c r="CL13">
        <v>89</v>
      </c>
      <c r="CM13">
        <v>90</v>
      </c>
      <c r="CN13">
        <v>91</v>
      </c>
      <c r="CO13">
        <v>92</v>
      </c>
      <c r="CP13">
        <v>93</v>
      </c>
      <c r="CQ13">
        <v>94</v>
      </c>
      <c r="CR13">
        <v>95</v>
      </c>
      <c r="CS13">
        <v>96</v>
      </c>
      <c r="CT13">
        <v>97</v>
      </c>
      <c r="CU13">
        <v>98</v>
      </c>
      <c r="CV13">
        <v>99</v>
      </c>
      <c r="CW13">
        <v>100</v>
      </c>
      <c r="CX13">
        <v>101</v>
      </c>
      <c r="CY13">
        <v>102</v>
      </c>
      <c r="CZ13">
        <v>103</v>
      </c>
      <c r="DA13">
        <v>104</v>
      </c>
      <c r="DB13">
        <v>105</v>
      </c>
      <c r="DC13">
        <v>106</v>
      </c>
      <c r="DD13">
        <v>107</v>
      </c>
      <c r="DE13">
        <v>108</v>
      </c>
      <c r="DF13">
        <v>109</v>
      </c>
      <c r="DG13">
        <v>110</v>
      </c>
      <c r="DH13">
        <v>111</v>
      </c>
      <c r="DI13">
        <v>112</v>
      </c>
      <c r="DJ13">
        <v>113</v>
      </c>
      <c r="DK13">
        <v>114</v>
      </c>
      <c r="DL13">
        <v>115</v>
      </c>
      <c r="DM13">
        <v>116</v>
      </c>
      <c r="DN13">
        <v>117</v>
      </c>
      <c r="DO13">
        <v>118</v>
      </c>
      <c r="DP13">
        <v>119</v>
      </c>
      <c r="DQ13">
        <v>120</v>
      </c>
      <c r="DR13">
        <v>121</v>
      </c>
      <c r="DS13">
        <v>122</v>
      </c>
      <c r="DT13">
        <v>123</v>
      </c>
      <c r="DU13">
        <v>124</v>
      </c>
      <c r="DV13">
        <v>125</v>
      </c>
      <c r="DW13">
        <v>126</v>
      </c>
      <c r="DX13">
        <v>127</v>
      </c>
      <c r="DY13">
        <v>128</v>
      </c>
      <c r="DZ13">
        <v>129</v>
      </c>
      <c r="EA13">
        <v>130</v>
      </c>
      <c r="EB13">
        <v>131</v>
      </c>
      <c r="EC13">
        <v>132</v>
      </c>
      <c r="ED13">
        <v>133</v>
      </c>
      <c r="EE13">
        <v>134</v>
      </c>
      <c r="EF13">
        <v>135</v>
      </c>
      <c r="EG13">
        <v>136</v>
      </c>
      <c r="EH13">
        <v>137</v>
      </c>
      <c r="EI13">
        <v>138</v>
      </c>
      <c r="EJ13">
        <v>139</v>
      </c>
      <c r="EK13">
        <v>140</v>
      </c>
      <c r="EL13">
        <v>141</v>
      </c>
      <c r="EM13">
        <v>142</v>
      </c>
      <c r="EN13">
        <v>143</v>
      </c>
      <c r="EO13">
        <v>144</v>
      </c>
      <c r="EP13">
        <v>145</v>
      </c>
      <c r="EQ13">
        <v>146</v>
      </c>
      <c r="ER13">
        <v>147</v>
      </c>
      <c r="ES13">
        <v>148</v>
      </c>
      <c r="ET13">
        <v>149</v>
      </c>
      <c r="EU13">
        <v>150</v>
      </c>
      <c r="EV13">
        <v>151</v>
      </c>
      <c r="EW13">
        <v>152</v>
      </c>
      <c r="EX13">
        <v>153</v>
      </c>
      <c r="EY13">
        <v>154</v>
      </c>
      <c r="EZ13">
        <v>155</v>
      </c>
      <c r="FA13">
        <v>156</v>
      </c>
      <c r="FB13">
        <v>157</v>
      </c>
      <c r="FC13">
        <v>158</v>
      </c>
      <c r="FD13">
        <v>159</v>
      </c>
      <c r="FE13">
        <v>160</v>
      </c>
      <c r="FF13">
        <v>161</v>
      </c>
      <c r="FG13">
        <v>162</v>
      </c>
      <c r="FH13">
        <v>163</v>
      </c>
      <c r="FI13">
        <v>164</v>
      </c>
      <c r="FJ13">
        <v>165</v>
      </c>
      <c r="FK13">
        <v>166</v>
      </c>
      <c r="FL13">
        <v>167</v>
      </c>
      <c r="FM13">
        <v>168</v>
      </c>
      <c r="FN13">
        <v>169</v>
      </c>
      <c r="FO13">
        <v>170</v>
      </c>
      <c r="FP13">
        <v>171</v>
      </c>
      <c r="FQ13">
        <v>172</v>
      </c>
      <c r="FR13">
        <v>173</v>
      </c>
      <c r="FS13">
        <v>174</v>
      </c>
      <c r="FT13">
        <v>175</v>
      </c>
      <c r="FU13">
        <v>176</v>
      </c>
      <c r="FV13">
        <v>177</v>
      </c>
      <c r="FW13">
        <v>178</v>
      </c>
      <c r="FX13">
        <v>179</v>
      </c>
      <c r="FY13">
        <v>180</v>
      </c>
      <c r="FZ13">
        <v>181</v>
      </c>
      <c r="GA13">
        <v>182</v>
      </c>
      <c r="GB13">
        <v>183</v>
      </c>
      <c r="GC13">
        <v>184</v>
      </c>
      <c r="GD13">
        <v>185</v>
      </c>
      <c r="GE13">
        <v>186</v>
      </c>
      <c r="GF13">
        <v>187</v>
      </c>
      <c r="GG13">
        <v>188</v>
      </c>
      <c r="GH13">
        <v>189</v>
      </c>
      <c r="GI13">
        <v>190</v>
      </c>
      <c r="GJ13">
        <v>191</v>
      </c>
      <c r="GK13">
        <v>192</v>
      </c>
      <c r="GL13">
        <v>193</v>
      </c>
      <c r="GM13">
        <v>194</v>
      </c>
      <c r="GN13">
        <v>195</v>
      </c>
      <c r="GO13">
        <v>196</v>
      </c>
      <c r="GP13">
        <v>197</v>
      </c>
      <c r="GQ13">
        <v>198</v>
      </c>
      <c r="GR13">
        <v>199</v>
      </c>
      <c r="GS13">
        <v>200</v>
      </c>
      <c r="GT13">
        <v>201</v>
      </c>
      <c r="GU13">
        <v>202</v>
      </c>
      <c r="GV13">
        <v>203</v>
      </c>
      <c r="GW13">
        <v>204</v>
      </c>
      <c r="GX13">
        <v>205</v>
      </c>
      <c r="GY13">
        <v>206</v>
      </c>
      <c r="GZ13">
        <v>207</v>
      </c>
      <c r="HA13">
        <v>208</v>
      </c>
      <c r="HB13">
        <v>209</v>
      </c>
      <c r="HC13">
        <v>210</v>
      </c>
      <c r="HD13">
        <v>211</v>
      </c>
      <c r="HE13">
        <v>212</v>
      </c>
      <c r="HF13">
        <v>213</v>
      </c>
      <c r="HG13">
        <v>214</v>
      </c>
      <c r="HH13">
        <v>215</v>
      </c>
      <c r="HI13">
        <v>216</v>
      </c>
      <c r="HJ13">
        <v>217</v>
      </c>
      <c r="HK13">
        <v>218</v>
      </c>
      <c r="HL13">
        <v>219</v>
      </c>
      <c r="HM13">
        <v>220</v>
      </c>
      <c r="HN13">
        <v>221</v>
      </c>
      <c r="HO13">
        <v>222</v>
      </c>
      <c r="HP13">
        <v>223</v>
      </c>
      <c r="HQ13">
        <v>224</v>
      </c>
      <c r="HR13">
        <v>225</v>
      </c>
      <c r="HS13">
        <v>226</v>
      </c>
      <c r="HT13">
        <v>227</v>
      </c>
      <c r="HU13">
        <v>228</v>
      </c>
      <c r="HV13">
        <v>229</v>
      </c>
      <c r="HW13">
        <v>230</v>
      </c>
      <c r="HX13">
        <v>231</v>
      </c>
      <c r="HY13">
        <v>232</v>
      </c>
      <c r="HZ13">
        <v>233</v>
      </c>
      <c r="IA13">
        <v>234</v>
      </c>
      <c r="IB13">
        <v>235</v>
      </c>
      <c r="IC13">
        <v>236</v>
      </c>
      <c r="ID13">
        <v>237</v>
      </c>
      <c r="IE13">
        <v>238</v>
      </c>
      <c r="IF13">
        <v>239</v>
      </c>
      <c r="IG13">
        <v>240</v>
      </c>
      <c r="IH13">
        <v>241</v>
      </c>
      <c r="II13">
        <v>242</v>
      </c>
      <c r="IJ13">
        <v>243</v>
      </c>
      <c r="IK13">
        <v>244</v>
      </c>
      <c r="IL13">
        <v>245</v>
      </c>
      <c r="IM13">
        <v>246</v>
      </c>
      <c r="IN13">
        <v>247</v>
      </c>
      <c r="IO13">
        <v>248</v>
      </c>
      <c r="IP13">
        <v>249</v>
      </c>
      <c r="IQ13">
        <v>250</v>
      </c>
      <c r="IR13">
        <v>251</v>
      </c>
      <c r="IS13">
        <v>252</v>
      </c>
      <c r="IT13">
        <v>253</v>
      </c>
      <c r="IU13">
        <v>254</v>
      </c>
      <c r="IV13">
        <v>255</v>
      </c>
      <c r="IW13">
        <v>256</v>
      </c>
      <c r="IX13">
        <v>257</v>
      </c>
      <c r="IY13">
        <v>258</v>
      </c>
      <c r="IZ13">
        <v>259</v>
      </c>
      <c r="JA13">
        <v>260</v>
      </c>
      <c r="JB13">
        <v>261</v>
      </c>
      <c r="JC13">
        <v>262</v>
      </c>
      <c r="JD13">
        <v>263</v>
      </c>
      <c r="JE13">
        <v>264</v>
      </c>
      <c r="JF13">
        <v>265</v>
      </c>
      <c r="JG13">
        <v>266</v>
      </c>
      <c r="JH13">
        <v>267</v>
      </c>
      <c r="JI13">
        <v>268</v>
      </c>
      <c r="JJ13">
        <v>269</v>
      </c>
      <c r="JK13">
        <v>270</v>
      </c>
      <c r="JL13">
        <v>271</v>
      </c>
      <c r="JM13">
        <v>272</v>
      </c>
      <c r="JN13">
        <v>273</v>
      </c>
      <c r="JO13">
        <v>274</v>
      </c>
      <c r="JP13">
        <v>275</v>
      </c>
      <c r="JQ13">
        <v>276</v>
      </c>
      <c r="JR13">
        <v>277</v>
      </c>
      <c r="JS13">
        <v>278</v>
      </c>
      <c r="JT13">
        <v>279</v>
      </c>
      <c r="JU13">
        <v>280</v>
      </c>
      <c r="JV13">
        <v>281</v>
      </c>
      <c r="JW13">
        <v>282</v>
      </c>
      <c r="JX13">
        <v>283</v>
      </c>
      <c r="JY13">
        <v>284</v>
      </c>
      <c r="JZ13">
        <v>285</v>
      </c>
      <c r="KA13">
        <v>286</v>
      </c>
      <c r="KB13">
        <v>287</v>
      </c>
      <c r="KC13">
        <v>288</v>
      </c>
      <c r="KD13">
        <v>289</v>
      </c>
      <c r="KE13">
        <v>290</v>
      </c>
      <c r="KF13">
        <v>291</v>
      </c>
      <c r="KG13">
        <v>292</v>
      </c>
      <c r="KH13">
        <v>293</v>
      </c>
      <c r="KI13">
        <v>294</v>
      </c>
      <c r="KJ13">
        <v>295</v>
      </c>
      <c r="KK13">
        <v>296</v>
      </c>
      <c r="KL13">
        <v>297</v>
      </c>
      <c r="KM13">
        <v>298</v>
      </c>
      <c r="KN13">
        <v>299</v>
      </c>
      <c r="KO13">
        <v>300</v>
      </c>
      <c r="KP13">
        <v>301</v>
      </c>
      <c r="KQ13">
        <v>302</v>
      </c>
      <c r="KR13">
        <v>303</v>
      </c>
      <c r="KS13">
        <v>304</v>
      </c>
      <c r="KT13">
        <v>305</v>
      </c>
      <c r="KU13">
        <v>306</v>
      </c>
      <c r="KV13">
        <v>307</v>
      </c>
      <c r="KW13">
        <v>308</v>
      </c>
      <c r="KX13">
        <v>309</v>
      </c>
      <c r="KY13">
        <v>310</v>
      </c>
      <c r="KZ13">
        <v>311</v>
      </c>
      <c r="LA13">
        <v>312</v>
      </c>
      <c r="LB13">
        <v>313</v>
      </c>
      <c r="LC13">
        <v>314</v>
      </c>
      <c r="LD13">
        <v>315</v>
      </c>
      <c r="LE13">
        <v>316</v>
      </c>
      <c r="LF13">
        <v>317</v>
      </c>
      <c r="LG13">
        <v>318</v>
      </c>
      <c r="LH13">
        <v>319</v>
      </c>
      <c r="LI13">
        <v>320</v>
      </c>
      <c r="LJ13">
        <v>321</v>
      </c>
      <c r="LK13">
        <v>322</v>
      </c>
      <c r="LL13">
        <v>323</v>
      </c>
      <c r="LM13">
        <v>324</v>
      </c>
      <c r="LN13">
        <v>325</v>
      </c>
      <c r="LO13">
        <v>326</v>
      </c>
      <c r="LP13">
        <v>327</v>
      </c>
      <c r="LQ13">
        <v>328</v>
      </c>
      <c r="LR13">
        <v>329</v>
      </c>
      <c r="LS13">
        <v>330</v>
      </c>
      <c r="LT13">
        <v>331</v>
      </c>
      <c r="LU13">
        <v>332</v>
      </c>
      <c r="LV13">
        <v>333</v>
      </c>
      <c r="LW13">
        <v>334</v>
      </c>
      <c r="LX13">
        <v>335</v>
      </c>
      <c r="LY13">
        <v>336</v>
      </c>
      <c r="LZ13">
        <v>337</v>
      </c>
      <c r="MA13">
        <v>338</v>
      </c>
      <c r="MB13">
        <v>339</v>
      </c>
      <c r="MC13">
        <v>340</v>
      </c>
      <c r="MD13">
        <v>341</v>
      </c>
      <c r="ME13">
        <v>342</v>
      </c>
      <c r="MF13">
        <v>343</v>
      </c>
      <c r="MG13">
        <v>344</v>
      </c>
      <c r="MH13">
        <v>345</v>
      </c>
      <c r="MI13">
        <v>346</v>
      </c>
      <c r="MJ13">
        <v>347</v>
      </c>
      <c r="MK13">
        <v>348</v>
      </c>
      <c r="ML13">
        <v>349</v>
      </c>
      <c r="MM13">
        <v>350</v>
      </c>
      <c r="MN13">
        <v>351</v>
      </c>
      <c r="MO13">
        <v>352</v>
      </c>
      <c r="MP13">
        <v>353</v>
      </c>
      <c r="MQ13">
        <v>354</v>
      </c>
      <c r="MR13">
        <v>355</v>
      </c>
      <c r="MS13">
        <v>356</v>
      </c>
      <c r="MT13">
        <v>357</v>
      </c>
      <c r="MU13">
        <v>358</v>
      </c>
      <c r="MV13">
        <v>359</v>
      </c>
      <c r="MW13">
        <v>360</v>
      </c>
      <c r="MX13">
        <v>361</v>
      </c>
      <c r="MY13">
        <v>362</v>
      </c>
      <c r="MZ13">
        <v>363</v>
      </c>
      <c r="NA13">
        <v>364</v>
      </c>
      <c r="NB13">
        <v>365</v>
      </c>
      <c r="NC13">
        <v>366</v>
      </c>
      <c r="ND13">
        <v>367</v>
      </c>
      <c r="NE13">
        <v>368</v>
      </c>
      <c r="NF13">
        <v>369</v>
      </c>
      <c r="NG13">
        <v>370</v>
      </c>
      <c r="NH13">
        <v>371</v>
      </c>
      <c r="NI13">
        <v>372</v>
      </c>
      <c r="NJ13">
        <v>373</v>
      </c>
      <c r="NK13">
        <v>374</v>
      </c>
      <c r="NL13">
        <v>375</v>
      </c>
      <c r="NM13">
        <v>376</v>
      </c>
      <c r="NN13">
        <v>377</v>
      </c>
      <c r="NO13">
        <v>378</v>
      </c>
      <c r="NP13">
        <v>379</v>
      </c>
      <c r="NQ13">
        <v>380</v>
      </c>
      <c r="NR13">
        <v>381</v>
      </c>
      <c r="NS13">
        <v>382</v>
      </c>
      <c r="NT13">
        <v>383</v>
      </c>
      <c r="NU13">
        <v>384</v>
      </c>
      <c r="NV13">
        <v>385</v>
      </c>
      <c r="NW13">
        <v>386</v>
      </c>
      <c r="NX13">
        <v>387</v>
      </c>
      <c r="NY13">
        <v>388</v>
      </c>
      <c r="NZ13">
        <v>389</v>
      </c>
      <c r="OA13">
        <v>390</v>
      </c>
      <c r="OB13">
        <v>391</v>
      </c>
      <c r="OC13">
        <v>392</v>
      </c>
      <c r="OD13">
        <v>393</v>
      </c>
      <c r="OE13">
        <v>394</v>
      </c>
      <c r="OF13">
        <v>395</v>
      </c>
      <c r="OG13">
        <v>396</v>
      </c>
      <c r="OH13">
        <v>397</v>
      </c>
      <c r="OI13">
        <v>398</v>
      </c>
      <c r="OJ13">
        <v>399</v>
      </c>
      <c r="OK13">
        <v>400</v>
      </c>
      <c r="OL13">
        <v>401</v>
      </c>
      <c r="OM13">
        <v>402</v>
      </c>
      <c r="ON13">
        <v>403</v>
      </c>
      <c r="OO13">
        <v>404</v>
      </c>
      <c r="OP13">
        <v>405</v>
      </c>
      <c r="OQ13">
        <v>406</v>
      </c>
      <c r="OR13">
        <v>407</v>
      </c>
      <c r="OS13">
        <v>408</v>
      </c>
      <c r="OT13">
        <v>409</v>
      </c>
      <c r="OU13">
        <v>410</v>
      </c>
      <c r="OV13">
        <v>411</v>
      </c>
      <c r="OW13">
        <v>412</v>
      </c>
      <c r="OX13">
        <v>413</v>
      </c>
      <c r="OY13">
        <v>414</v>
      </c>
      <c r="OZ13">
        <v>415</v>
      </c>
      <c r="PA13">
        <v>416</v>
      </c>
      <c r="PB13">
        <v>417</v>
      </c>
      <c r="PC13">
        <v>418</v>
      </c>
      <c r="PD13">
        <v>419</v>
      </c>
      <c r="PE13">
        <v>420</v>
      </c>
      <c r="PF13">
        <v>421</v>
      </c>
      <c r="PG13">
        <v>422</v>
      </c>
      <c r="PH13">
        <v>423</v>
      </c>
      <c r="PI13">
        <v>424</v>
      </c>
      <c r="PJ13">
        <v>425</v>
      </c>
      <c r="PK13">
        <v>426</v>
      </c>
      <c r="PL13">
        <v>427</v>
      </c>
      <c r="PM13">
        <v>428</v>
      </c>
      <c r="PN13">
        <v>429</v>
      </c>
      <c r="PO13">
        <v>430</v>
      </c>
      <c r="PP13">
        <v>431</v>
      </c>
      <c r="PQ13">
        <v>432</v>
      </c>
      <c r="PR13">
        <v>433</v>
      </c>
      <c r="PS13">
        <v>434</v>
      </c>
      <c r="PT13">
        <v>435</v>
      </c>
      <c r="PU13">
        <v>436</v>
      </c>
      <c r="PV13">
        <v>437</v>
      </c>
      <c r="PW13">
        <v>438</v>
      </c>
      <c r="PX13">
        <v>439</v>
      </c>
      <c r="PY13">
        <v>440</v>
      </c>
      <c r="PZ13">
        <v>441</v>
      </c>
      <c r="QA13">
        <v>442</v>
      </c>
      <c r="QB13">
        <v>443</v>
      </c>
      <c r="QC13">
        <v>444</v>
      </c>
      <c r="QD13">
        <v>445</v>
      </c>
      <c r="QE13">
        <v>446</v>
      </c>
      <c r="QF13">
        <v>447</v>
      </c>
      <c r="QG13">
        <v>448</v>
      </c>
      <c r="QH13">
        <v>449</v>
      </c>
      <c r="QI13">
        <v>450</v>
      </c>
      <c r="QJ13">
        <v>451</v>
      </c>
      <c r="QK13">
        <v>452</v>
      </c>
      <c r="QL13">
        <v>453</v>
      </c>
      <c r="QM13">
        <v>454</v>
      </c>
      <c r="QN13">
        <v>455</v>
      </c>
      <c r="QO13">
        <v>456</v>
      </c>
      <c r="QP13">
        <v>457</v>
      </c>
      <c r="QQ13">
        <v>458</v>
      </c>
      <c r="QR13">
        <v>459</v>
      </c>
      <c r="QS13">
        <v>460</v>
      </c>
      <c r="QT13">
        <v>461</v>
      </c>
      <c r="QU13">
        <v>462</v>
      </c>
      <c r="QV13">
        <v>463</v>
      </c>
      <c r="QW13">
        <v>464</v>
      </c>
      <c r="QX13">
        <v>465</v>
      </c>
      <c r="QY13">
        <v>466</v>
      </c>
      <c r="QZ13">
        <v>467</v>
      </c>
      <c r="RA13">
        <v>468</v>
      </c>
      <c r="RB13">
        <v>469</v>
      </c>
      <c r="RC13">
        <v>470</v>
      </c>
      <c r="RD13">
        <v>471</v>
      </c>
      <c r="RE13">
        <v>472</v>
      </c>
      <c r="RF13">
        <v>473</v>
      </c>
      <c r="RG13">
        <v>474</v>
      </c>
      <c r="RH13">
        <v>475</v>
      </c>
      <c r="RI13">
        <v>476</v>
      </c>
      <c r="RJ13">
        <v>477</v>
      </c>
      <c r="RK13">
        <v>478</v>
      </c>
      <c r="RL13">
        <v>479</v>
      </c>
      <c r="RM13">
        <v>480</v>
      </c>
      <c r="RN13">
        <v>481</v>
      </c>
      <c r="RO13">
        <v>482</v>
      </c>
      <c r="RP13">
        <v>483</v>
      </c>
      <c r="RQ13">
        <v>484</v>
      </c>
      <c r="RR13">
        <v>485</v>
      </c>
      <c r="RS13">
        <v>486</v>
      </c>
      <c r="RT13">
        <v>487</v>
      </c>
      <c r="RU13">
        <v>488</v>
      </c>
      <c r="RV13">
        <v>489</v>
      </c>
      <c r="RW13">
        <v>490</v>
      </c>
      <c r="RX13">
        <v>491</v>
      </c>
      <c r="RY13">
        <v>492</v>
      </c>
      <c r="RZ13">
        <v>493</v>
      </c>
      <c r="SA13">
        <v>494</v>
      </c>
      <c r="SB13">
        <v>495</v>
      </c>
      <c r="SC13">
        <v>496</v>
      </c>
      <c r="SD13">
        <v>497</v>
      </c>
      <c r="SE13">
        <v>498</v>
      </c>
      <c r="SF13">
        <v>499</v>
      </c>
      <c r="SG13">
        <v>500</v>
      </c>
    </row>
    <row r="14" spans="1:501" x14ac:dyDescent="0.3">
      <c r="A14" s="1">
        <v>45847</v>
      </c>
    </row>
    <row r="15" spans="1:501" x14ac:dyDescent="0.3">
      <c r="A15" s="1" t="s">
        <v>88</v>
      </c>
      <c r="B15">
        <f ca="1">$B2*EXP(($I2-$J3-($H2^2)/2)*(1/52)+$H2*SQRT(1/52)*_xlfn.NORM.INV(RAND(),0,1))</f>
        <v>9.8596190733350628</v>
      </c>
      <c r="C15">
        <f t="shared" ref="C15:BN16" ca="1" si="3">$B2*EXP(($I2-$J3-($H2^2)/2)*(1/52)+$H2*SQRT(1/52)*_xlfn.NORM.INV(RAND(),0,1))</f>
        <v>9.8546180623482424</v>
      </c>
      <c r="D15">
        <f t="shared" ca="1" si="3"/>
        <v>9.8574836331408573</v>
      </c>
      <c r="E15">
        <f t="shared" ca="1" si="3"/>
        <v>9.8594910052105593</v>
      </c>
      <c r="F15">
        <f t="shared" ca="1" si="3"/>
        <v>9.8600643301268178</v>
      </c>
      <c r="G15">
        <f t="shared" ca="1" si="3"/>
        <v>9.8571708515408307</v>
      </c>
      <c r="H15">
        <f t="shared" ca="1" si="3"/>
        <v>9.8593969289464649</v>
      </c>
      <c r="I15">
        <f t="shared" ca="1" si="3"/>
        <v>9.8614110679020275</v>
      </c>
      <c r="J15">
        <f t="shared" ca="1" si="3"/>
        <v>9.8558922450219555</v>
      </c>
      <c r="K15">
        <f t="shared" ca="1" si="3"/>
        <v>9.8580346515290262</v>
      </c>
      <c r="L15">
        <f t="shared" ca="1" si="3"/>
        <v>9.8571113613352956</v>
      </c>
      <c r="M15">
        <f t="shared" ca="1" si="3"/>
        <v>9.8563015302852826</v>
      </c>
      <c r="N15">
        <f t="shared" ca="1" si="3"/>
        <v>9.8611942280050791</v>
      </c>
      <c r="O15">
        <f t="shared" ca="1" si="3"/>
        <v>9.8571590965788403</v>
      </c>
      <c r="P15">
        <f t="shared" ca="1" si="3"/>
        <v>9.8535000267015729</v>
      </c>
      <c r="Q15">
        <f t="shared" ca="1" si="3"/>
        <v>9.8592558746725611</v>
      </c>
      <c r="R15">
        <f t="shared" ca="1" si="3"/>
        <v>9.8590299951953888</v>
      </c>
      <c r="S15">
        <f t="shared" ca="1" si="3"/>
        <v>9.8557549256798804</v>
      </c>
      <c r="T15">
        <f t="shared" ca="1" si="3"/>
        <v>9.8568804766818161</v>
      </c>
      <c r="U15">
        <f t="shared" ca="1" si="3"/>
        <v>9.8574619237353502</v>
      </c>
      <c r="V15">
        <f t="shared" ca="1" si="3"/>
        <v>9.8611699930502095</v>
      </c>
      <c r="W15">
        <f t="shared" ca="1" si="3"/>
        <v>9.8612489884805044</v>
      </c>
      <c r="X15">
        <f t="shared" ca="1" si="3"/>
        <v>9.8562180384457001</v>
      </c>
      <c r="Y15">
        <f t="shared" ca="1" si="3"/>
        <v>9.8546902179852669</v>
      </c>
      <c r="Z15">
        <f t="shared" ca="1" si="3"/>
        <v>9.8637624745412396</v>
      </c>
      <c r="AA15">
        <f t="shared" ca="1" si="3"/>
        <v>9.8603803730722941</v>
      </c>
      <c r="AB15">
        <f t="shared" ca="1" si="3"/>
        <v>9.8601569613365907</v>
      </c>
      <c r="AC15">
        <f t="shared" ca="1" si="3"/>
        <v>9.8603211024393165</v>
      </c>
      <c r="AD15">
        <f t="shared" ca="1" si="3"/>
        <v>9.8598036550050665</v>
      </c>
      <c r="AE15">
        <f t="shared" ca="1" si="3"/>
        <v>9.8607156156197551</v>
      </c>
      <c r="AF15">
        <f t="shared" ca="1" si="3"/>
        <v>9.8534217486136875</v>
      </c>
      <c r="AG15">
        <f t="shared" ca="1" si="3"/>
        <v>9.8559558563117164</v>
      </c>
      <c r="AH15">
        <f t="shared" ca="1" si="3"/>
        <v>9.8573440779879</v>
      </c>
      <c r="AI15">
        <f t="shared" ca="1" si="3"/>
        <v>9.8528351731713766</v>
      </c>
      <c r="AJ15">
        <f t="shared" ca="1" si="3"/>
        <v>9.8573473041358586</v>
      </c>
      <c r="AK15">
        <f t="shared" ca="1" si="3"/>
        <v>9.8612486687537189</v>
      </c>
      <c r="AL15">
        <f t="shared" ca="1" si="3"/>
        <v>9.8559174820339912</v>
      </c>
      <c r="AM15">
        <f t="shared" ca="1" si="3"/>
        <v>9.857600419931785</v>
      </c>
      <c r="AN15">
        <f t="shared" ca="1" si="3"/>
        <v>9.8564014231003974</v>
      </c>
      <c r="AO15">
        <f t="shared" ca="1" si="3"/>
        <v>9.8596949661587825</v>
      </c>
      <c r="AP15">
        <f t="shared" ca="1" si="3"/>
        <v>9.8582555785789001</v>
      </c>
      <c r="AQ15">
        <f t="shared" ca="1" si="3"/>
        <v>9.8568454195169046</v>
      </c>
      <c r="AR15">
        <f t="shared" ca="1" si="3"/>
        <v>9.8560099658035334</v>
      </c>
      <c r="AS15">
        <f t="shared" ca="1" si="3"/>
        <v>9.8566841696653267</v>
      </c>
      <c r="AT15">
        <f t="shared" ca="1" si="3"/>
        <v>9.856261533602547</v>
      </c>
      <c r="AU15">
        <f t="shared" ca="1" si="3"/>
        <v>9.8564556204107099</v>
      </c>
      <c r="AV15">
        <f t="shared" ca="1" si="3"/>
        <v>9.8603085672322557</v>
      </c>
      <c r="AW15">
        <f t="shared" ca="1" si="3"/>
        <v>9.8549359087403108</v>
      </c>
      <c r="AX15">
        <f t="shared" ca="1" si="3"/>
        <v>9.8577930694684994</v>
      </c>
      <c r="AY15">
        <f t="shared" ca="1" si="3"/>
        <v>9.8610765649576049</v>
      </c>
      <c r="AZ15">
        <f t="shared" ca="1" si="3"/>
        <v>9.8566840961323852</v>
      </c>
      <c r="BA15">
        <f t="shared" ca="1" si="3"/>
        <v>9.8574754685696959</v>
      </c>
      <c r="BB15">
        <f t="shared" ca="1" si="3"/>
        <v>9.859589064057559</v>
      </c>
      <c r="BC15">
        <f t="shared" ca="1" si="3"/>
        <v>9.860267928310428</v>
      </c>
      <c r="BD15">
        <f t="shared" ca="1" si="3"/>
        <v>9.8617098931471485</v>
      </c>
      <c r="BE15">
        <f t="shared" ca="1" si="3"/>
        <v>9.8585500775193573</v>
      </c>
      <c r="BF15">
        <f t="shared" ca="1" si="3"/>
        <v>9.8593549652742496</v>
      </c>
      <c r="BG15">
        <f t="shared" ca="1" si="3"/>
        <v>9.8618623945459412</v>
      </c>
      <c r="BH15">
        <f t="shared" ca="1" si="3"/>
        <v>9.8539354223535849</v>
      </c>
      <c r="BI15">
        <f t="shared" ca="1" si="3"/>
        <v>9.8566215167767766</v>
      </c>
      <c r="BJ15">
        <f t="shared" ca="1" si="3"/>
        <v>9.8586520049639788</v>
      </c>
      <c r="BK15">
        <f t="shared" ca="1" si="3"/>
        <v>9.8554402879058145</v>
      </c>
      <c r="BL15">
        <f t="shared" ca="1" si="3"/>
        <v>9.8562591314890984</v>
      </c>
      <c r="BM15">
        <f t="shared" ca="1" si="3"/>
        <v>9.8579328188133761</v>
      </c>
      <c r="BN15">
        <f t="shared" ca="1" si="3"/>
        <v>9.8576702729451871</v>
      </c>
      <c r="BO15">
        <f t="shared" ref="BO15:DZ18" ca="1" si="4">$B2*EXP(($I2-$J3-($H2^2)/2)*(1/52)+$H2*SQRT(1/52)*_xlfn.NORM.INV(RAND(),0,1))</f>
        <v>9.8581600383438186</v>
      </c>
      <c r="BP15">
        <f t="shared" ca="1" si="4"/>
        <v>9.8592217355986413</v>
      </c>
      <c r="BQ15">
        <f t="shared" ca="1" si="4"/>
        <v>9.858433973851362</v>
      </c>
      <c r="BR15">
        <f t="shared" ca="1" si="4"/>
        <v>9.8565037513662705</v>
      </c>
      <c r="BS15">
        <f t="shared" ca="1" si="4"/>
        <v>9.8580931918589663</v>
      </c>
      <c r="BT15">
        <f t="shared" ca="1" si="4"/>
        <v>9.8550340925287081</v>
      </c>
      <c r="BU15">
        <f t="shared" ca="1" si="4"/>
        <v>9.8606698372560384</v>
      </c>
      <c r="BV15">
        <f t="shared" ca="1" si="4"/>
        <v>9.8571627066505894</v>
      </c>
      <c r="BW15">
        <f t="shared" ca="1" si="4"/>
        <v>9.8580618566795408</v>
      </c>
      <c r="BX15">
        <f t="shared" ca="1" si="4"/>
        <v>9.8572816218995456</v>
      </c>
      <c r="BY15">
        <f t="shared" ca="1" si="4"/>
        <v>9.8519284342293645</v>
      </c>
      <c r="BZ15">
        <f t="shared" ca="1" si="4"/>
        <v>9.8557458243393512</v>
      </c>
      <c r="CA15">
        <f t="shared" ca="1" si="4"/>
        <v>9.8559436256572646</v>
      </c>
      <c r="CB15">
        <f t="shared" ca="1" si="4"/>
        <v>9.8623212630456258</v>
      </c>
      <c r="CC15">
        <f t="shared" ca="1" si="4"/>
        <v>9.8537724902870547</v>
      </c>
      <c r="CD15">
        <f t="shared" ca="1" si="4"/>
        <v>9.8578150402679441</v>
      </c>
      <c r="CE15">
        <f t="shared" ca="1" si="4"/>
        <v>9.8585653586713544</v>
      </c>
      <c r="CF15">
        <f t="shared" ca="1" si="4"/>
        <v>9.8602525667594811</v>
      </c>
      <c r="CG15">
        <f t="shared" ca="1" si="4"/>
        <v>9.859633467087475</v>
      </c>
      <c r="CH15">
        <f t="shared" ca="1" si="4"/>
        <v>9.8598465920879175</v>
      </c>
      <c r="CI15">
        <f t="shared" ca="1" si="4"/>
        <v>9.8579078251664534</v>
      </c>
      <c r="CJ15">
        <f t="shared" ca="1" si="4"/>
        <v>9.8602942990083911</v>
      </c>
      <c r="CK15">
        <f t="shared" ca="1" si="4"/>
        <v>9.8599791440627289</v>
      </c>
      <c r="CL15">
        <f t="shared" ca="1" si="4"/>
        <v>9.8553210530449906</v>
      </c>
      <c r="CM15">
        <f t="shared" ca="1" si="4"/>
        <v>9.8579188823884873</v>
      </c>
      <c r="CN15">
        <f t="shared" ca="1" si="4"/>
        <v>9.8570369187594871</v>
      </c>
      <c r="CO15">
        <f t="shared" ca="1" si="4"/>
        <v>9.8574541922053829</v>
      </c>
      <c r="CP15">
        <f t="shared" ca="1" si="4"/>
        <v>9.8560030253369639</v>
      </c>
      <c r="CQ15">
        <f t="shared" ca="1" si="4"/>
        <v>9.854997639364095</v>
      </c>
      <c r="CR15">
        <f t="shared" ca="1" si="4"/>
        <v>9.8601712127209513</v>
      </c>
      <c r="CS15">
        <f t="shared" ca="1" si="4"/>
        <v>9.8588053293372067</v>
      </c>
      <c r="CT15">
        <f t="shared" ca="1" si="4"/>
        <v>9.8581334201420088</v>
      </c>
      <c r="CU15">
        <f t="shared" ca="1" si="4"/>
        <v>9.8593838206333526</v>
      </c>
      <c r="CV15">
        <f t="shared" ca="1" si="4"/>
        <v>9.8622001564811015</v>
      </c>
      <c r="CW15">
        <f t="shared" ca="1" si="4"/>
        <v>9.8597231225935662</v>
      </c>
      <c r="CX15">
        <f t="shared" ca="1" si="4"/>
        <v>9.8593781411929378</v>
      </c>
      <c r="CY15">
        <f t="shared" ca="1" si="4"/>
        <v>9.8574308028040374</v>
      </c>
      <c r="CZ15">
        <f t="shared" ca="1" si="4"/>
        <v>9.8577980528861993</v>
      </c>
      <c r="DA15">
        <f t="shared" ca="1" si="4"/>
        <v>9.8562050218783241</v>
      </c>
      <c r="DB15">
        <f t="shared" ca="1" si="4"/>
        <v>9.8565753611490035</v>
      </c>
      <c r="DC15">
        <f t="shared" ca="1" si="4"/>
        <v>9.8573129376223445</v>
      </c>
      <c r="DD15">
        <f t="shared" ca="1" si="4"/>
        <v>9.8586137228719561</v>
      </c>
      <c r="DE15">
        <f t="shared" ca="1" si="4"/>
        <v>9.8613285539840518</v>
      </c>
      <c r="DF15">
        <f t="shared" ca="1" si="4"/>
        <v>9.8570383469125886</v>
      </c>
      <c r="DG15">
        <f t="shared" ca="1" si="4"/>
        <v>9.8565219370147652</v>
      </c>
      <c r="DH15">
        <f t="shared" ca="1" si="4"/>
        <v>9.8564516039424586</v>
      </c>
      <c r="DI15">
        <f t="shared" ca="1" si="4"/>
        <v>9.858342610711766</v>
      </c>
      <c r="DJ15">
        <f t="shared" ca="1" si="4"/>
        <v>9.8565518319608163</v>
      </c>
      <c r="DK15">
        <f t="shared" ca="1" si="4"/>
        <v>9.8586590604653903</v>
      </c>
      <c r="DL15">
        <f t="shared" ca="1" si="4"/>
        <v>9.8542154054187332</v>
      </c>
      <c r="DM15">
        <f t="shared" ca="1" si="4"/>
        <v>9.8568348274947333</v>
      </c>
      <c r="DN15">
        <f t="shared" ca="1" si="4"/>
        <v>9.8568595973614315</v>
      </c>
      <c r="DO15">
        <f t="shared" ca="1" si="4"/>
        <v>9.8560241579581689</v>
      </c>
      <c r="DP15">
        <f t="shared" ca="1" si="4"/>
        <v>9.8574278548595959</v>
      </c>
      <c r="DQ15">
        <f t="shared" ca="1" si="4"/>
        <v>9.8569902644453613</v>
      </c>
      <c r="DR15">
        <f t="shared" ca="1" si="4"/>
        <v>9.8569729873045127</v>
      </c>
      <c r="DS15">
        <f t="shared" ca="1" si="4"/>
        <v>9.858609394202654</v>
      </c>
      <c r="DT15">
        <f t="shared" ca="1" si="4"/>
        <v>9.8578977423077667</v>
      </c>
      <c r="DU15">
        <f t="shared" ca="1" si="4"/>
        <v>9.8576801010730613</v>
      </c>
      <c r="DV15">
        <f t="shared" ca="1" si="4"/>
        <v>9.858019078523224</v>
      </c>
      <c r="DW15">
        <f t="shared" ca="1" si="4"/>
        <v>9.8541532558428298</v>
      </c>
      <c r="DX15">
        <f t="shared" ca="1" si="4"/>
        <v>9.8619681108107766</v>
      </c>
      <c r="DY15">
        <f t="shared" ca="1" si="4"/>
        <v>9.8565451029474573</v>
      </c>
      <c r="DZ15">
        <f t="shared" ca="1" si="4"/>
        <v>9.8577804141576593</v>
      </c>
      <c r="EA15">
        <f t="shared" ref="EA15:GL21" ca="1" si="5">$B2*EXP(($I2-$J3-($H2^2)/2)*(1/52)+$H2*SQRT(1/52)*_xlfn.NORM.INV(RAND(),0,1))</f>
        <v>9.8519882723927701</v>
      </c>
      <c r="EB15">
        <f t="shared" ca="1" si="5"/>
        <v>9.8594629185501326</v>
      </c>
      <c r="EC15">
        <f t="shared" ca="1" si="5"/>
        <v>9.8593176285428701</v>
      </c>
      <c r="ED15">
        <f t="shared" ca="1" si="5"/>
        <v>9.8571524800511821</v>
      </c>
      <c r="EE15">
        <f t="shared" ca="1" si="5"/>
        <v>9.8557082436905254</v>
      </c>
      <c r="EF15">
        <f t="shared" ca="1" si="5"/>
        <v>9.8623340705374645</v>
      </c>
      <c r="EG15">
        <f t="shared" ca="1" si="5"/>
        <v>9.8583443908496768</v>
      </c>
      <c r="EH15">
        <f t="shared" ca="1" si="5"/>
        <v>9.8597123481875908</v>
      </c>
      <c r="EI15">
        <f t="shared" ca="1" si="5"/>
        <v>9.8594768420477159</v>
      </c>
      <c r="EJ15">
        <f t="shared" ca="1" si="5"/>
        <v>9.8578315423536846</v>
      </c>
      <c r="EK15">
        <f t="shared" ca="1" si="5"/>
        <v>9.8537821265260277</v>
      </c>
      <c r="EL15">
        <f t="shared" ca="1" si="5"/>
        <v>9.8574086202727145</v>
      </c>
      <c r="EM15">
        <f t="shared" ca="1" si="5"/>
        <v>9.8601913358829378</v>
      </c>
      <c r="EN15">
        <f t="shared" ca="1" si="5"/>
        <v>9.8527586882198328</v>
      </c>
      <c r="EO15">
        <f t="shared" ca="1" si="5"/>
        <v>9.8599305395520425</v>
      </c>
      <c r="EP15">
        <f t="shared" ca="1" si="5"/>
        <v>9.8619622630643615</v>
      </c>
      <c r="EQ15">
        <f t="shared" ca="1" si="5"/>
        <v>9.863218697465566</v>
      </c>
      <c r="ER15">
        <f t="shared" ca="1" si="5"/>
        <v>9.8538235627638464</v>
      </c>
      <c r="ES15">
        <f t="shared" ca="1" si="5"/>
        <v>9.8596268250635166</v>
      </c>
      <c r="ET15">
        <f t="shared" ca="1" si="5"/>
        <v>9.8581348486111189</v>
      </c>
      <c r="EU15">
        <f t="shared" ca="1" si="5"/>
        <v>9.8616360532156548</v>
      </c>
      <c r="EV15">
        <f t="shared" ca="1" si="5"/>
        <v>9.860001763383794</v>
      </c>
      <c r="EW15">
        <f t="shared" ca="1" si="5"/>
        <v>9.860770587821774</v>
      </c>
      <c r="EX15">
        <f t="shared" ca="1" si="5"/>
        <v>9.8596200038044532</v>
      </c>
      <c r="EY15">
        <f t="shared" ca="1" si="5"/>
        <v>9.8583868228823519</v>
      </c>
      <c r="EZ15">
        <f t="shared" ca="1" si="5"/>
        <v>9.8585600248199334</v>
      </c>
      <c r="FA15">
        <f t="shared" ca="1" si="5"/>
        <v>9.8593415524929835</v>
      </c>
      <c r="FB15">
        <f t="shared" ca="1" si="5"/>
        <v>9.8595031520951117</v>
      </c>
      <c r="FC15">
        <f t="shared" ca="1" si="5"/>
        <v>9.8559606864357718</v>
      </c>
      <c r="FD15">
        <f t="shared" ca="1" si="5"/>
        <v>9.8615389539866385</v>
      </c>
      <c r="FE15">
        <f t="shared" ca="1" si="5"/>
        <v>9.8616990558255235</v>
      </c>
      <c r="FF15">
        <f t="shared" ca="1" si="5"/>
        <v>9.8576403688933087</v>
      </c>
      <c r="FG15">
        <f t="shared" ca="1" si="5"/>
        <v>9.8593544111692157</v>
      </c>
      <c r="FH15">
        <f t="shared" ca="1" si="5"/>
        <v>9.8584255373042158</v>
      </c>
      <c r="FI15">
        <f t="shared" ca="1" si="5"/>
        <v>9.8594908293775347</v>
      </c>
      <c r="FJ15">
        <f t="shared" ca="1" si="5"/>
        <v>9.8608833279389625</v>
      </c>
      <c r="FK15">
        <f t="shared" ca="1" si="5"/>
        <v>9.8593890558975801</v>
      </c>
      <c r="FL15">
        <f t="shared" ca="1" si="5"/>
        <v>9.8557817361996118</v>
      </c>
      <c r="FM15">
        <f t="shared" ca="1" si="5"/>
        <v>9.8527885122174848</v>
      </c>
      <c r="FN15">
        <f t="shared" ca="1" si="5"/>
        <v>9.8583454296632844</v>
      </c>
      <c r="FO15">
        <f t="shared" ca="1" si="5"/>
        <v>9.8560380092673938</v>
      </c>
      <c r="FP15">
        <f t="shared" ca="1" si="5"/>
        <v>9.8602355381776281</v>
      </c>
      <c r="FQ15">
        <f t="shared" ca="1" si="5"/>
        <v>9.8547705209323926</v>
      </c>
      <c r="FR15">
        <f t="shared" ca="1" si="5"/>
        <v>9.8532672995265465</v>
      </c>
      <c r="FS15">
        <f t="shared" ca="1" si="5"/>
        <v>9.8646098196049206</v>
      </c>
      <c r="FT15">
        <f t="shared" ca="1" si="5"/>
        <v>9.8573704933526276</v>
      </c>
      <c r="FU15">
        <f t="shared" ca="1" si="5"/>
        <v>9.8586016989843603</v>
      </c>
      <c r="FV15">
        <f t="shared" ca="1" si="5"/>
        <v>9.8592613701023435</v>
      </c>
      <c r="FW15">
        <f t="shared" ca="1" si="5"/>
        <v>9.8613009357904815</v>
      </c>
      <c r="FX15">
        <f t="shared" ca="1" si="5"/>
        <v>9.8557648102244748</v>
      </c>
      <c r="FY15">
        <f t="shared" ca="1" si="5"/>
        <v>9.8539848506213925</v>
      </c>
      <c r="FZ15">
        <f t="shared" ca="1" si="5"/>
        <v>9.857565079691085</v>
      </c>
      <c r="GA15">
        <f t="shared" ca="1" si="5"/>
        <v>9.8561903243407585</v>
      </c>
      <c r="GB15">
        <f t="shared" ca="1" si="5"/>
        <v>9.8568255894707182</v>
      </c>
      <c r="GC15">
        <f t="shared" ca="1" si="5"/>
        <v>9.8564538607862495</v>
      </c>
      <c r="GD15">
        <f t="shared" ca="1" si="5"/>
        <v>9.8558664136457814</v>
      </c>
      <c r="GE15">
        <f t="shared" ca="1" si="5"/>
        <v>9.8588960063478854</v>
      </c>
      <c r="GF15">
        <f t="shared" ca="1" si="5"/>
        <v>9.8582991930884383</v>
      </c>
      <c r="GG15">
        <f t="shared" ca="1" si="5"/>
        <v>9.8591596164787774</v>
      </c>
      <c r="GH15">
        <f t="shared" ca="1" si="5"/>
        <v>9.8623661136638336</v>
      </c>
      <c r="GI15">
        <f t="shared" ca="1" si="5"/>
        <v>9.8556455379365282</v>
      </c>
      <c r="GJ15">
        <f t="shared" ca="1" si="5"/>
        <v>9.853102865133879</v>
      </c>
      <c r="GK15">
        <f t="shared" ca="1" si="5"/>
        <v>9.858321712635826</v>
      </c>
      <c r="GL15">
        <f t="shared" ca="1" si="5"/>
        <v>9.8578737192184338</v>
      </c>
      <c r="GM15">
        <f t="shared" ref="GM15:IX18" ca="1" si="6">$B2*EXP(($I2-$J3-($H2^2)/2)*(1/52)+$H2*SQRT(1/52)*_xlfn.NORM.INV(RAND(),0,1))</f>
        <v>9.8622211822802139</v>
      </c>
      <c r="GN15">
        <f t="shared" ca="1" si="6"/>
        <v>9.8604055794714736</v>
      </c>
      <c r="GO15">
        <f t="shared" ca="1" si="6"/>
        <v>9.8545663214730368</v>
      </c>
      <c r="GP15">
        <f t="shared" ca="1" si="6"/>
        <v>9.8588079985213852</v>
      </c>
      <c r="GQ15">
        <f t="shared" ca="1" si="6"/>
        <v>9.858324438266072</v>
      </c>
      <c r="GR15">
        <f t="shared" ca="1" si="6"/>
        <v>9.8574689996376819</v>
      </c>
      <c r="GS15">
        <f t="shared" ca="1" si="6"/>
        <v>9.8584935392584701</v>
      </c>
      <c r="GT15">
        <f t="shared" ca="1" si="6"/>
        <v>9.8586769645460048</v>
      </c>
      <c r="GU15">
        <f t="shared" ca="1" si="6"/>
        <v>9.8572095902873915</v>
      </c>
      <c r="GV15">
        <f t="shared" ca="1" si="6"/>
        <v>9.8562973959157034</v>
      </c>
      <c r="GW15">
        <f t="shared" ca="1" si="6"/>
        <v>9.8606548297049184</v>
      </c>
      <c r="GX15">
        <f t="shared" ca="1" si="6"/>
        <v>9.8621634092830579</v>
      </c>
      <c r="GY15">
        <f t="shared" ca="1" si="6"/>
        <v>9.8577521590154031</v>
      </c>
      <c r="GZ15">
        <f t="shared" ca="1" si="6"/>
        <v>9.856586800538409</v>
      </c>
      <c r="HA15">
        <f t="shared" ca="1" si="6"/>
        <v>9.8578045015452602</v>
      </c>
      <c r="HB15">
        <f t="shared" ca="1" si="6"/>
        <v>9.8547481617678017</v>
      </c>
      <c r="HC15">
        <f t="shared" ca="1" si="6"/>
        <v>9.8562836101410518</v>
      </c>
      <c r="HD15">
        <f t="shared" ca="1" si="6"/>
        <v>9.8628146393517273</v>
      </c>
      <c r="HE15">
        <f t="shared" ca="1" si="6"/>
        <v>9.8580396665656256</v>
      </c>
      <c r="HF15">
        <f t="shared" ca="1" si="6"/>
        <v>9.8573686888250815</v>
      </c>
      <c r="HG15">
        <f t="shared" ca="1" si="6"/>
        <v>9.8621866184636868</v>
      </c>
      <c r="HH15">
        <f t="shared" ca="1" si="6"/>
        <v>9.8563172858552832</v>
      </c>
      <c r="HI15">
        <f t="shared" ca="1" si="6"/>
        <v>9.8599389144017398</v>
      </c>
      <c r="HJ15">
        <f t="shared" ca="1" si="6"/>
        <v>9.8586520929248831</v>
      </c>
      <c r="HK15">
        <f t="shared" ca="1" si="6"/>
        <v>9.8614452865973856</v>
      </c>
      <c r="HL15">
        <f t="shared" ca="1" si="6"/>
        <v>9.8557555060306079</v>
      </c>
      <c r="HM15">
        <f t="shared" ca="1" si="6"/>
        <v>9.8567650222243213</v>
      </c>
      <c r="HN15">
        <f t="shared" ca="1" si="6"/>
        <v>9.8607528441881609</v>
      </c>
      <c r="HO15">
        <f t="shared" ca="1" si="6"/>
        <v>9.8561148993838987</v>
      </c>
      <c r="HP15">
        <f t="shared" ca="1" si="6"/>
        <v>9.8593736017959763</v>
      </c>
      <c r="HQ15">
        <f t="shared" ca="1" si="6"/>
        <v>9.858536984050728</v>
      </c>
      <c r="HR15">
        <f t="shared" ca="1" si="6"/>
        <v>9.8589120211300507</v>
      </c>
      <c r="HS15">
        <f t="shared" ca="1" si="6"/>
        <v>9.8571411361924213</v>
      </c>
      <c r="HT15">
        <f t="shared" ca="1" si="6"/>
        <v>9.8598408964214848</v>
      </c>
      <c r="HU15">
        <f t="shared" ca="1" si="6"/>
        <v>9.8563538279001559</v>
      </c>
      <c r="HV15">
        <f t="shared" ca="1" si="6"/>
        <v>9.8642998929228884</v>
      </c>
      <c r="HW15">
        <f t="shared" ca="1" si="6"/>
        <v>9.8543502773321219</v>
      </c>
      <c r="HX15">
        <f t="shared" ca="1" si="6"/>
        <v>9.8580617367747969</v>
      </c>
      <c r="HY15">
        <f t="shared" ca="1" si="6"/>
        <v>9.8606459083304703</v>
      </c>
      <c r="HZ15">
        <f t="shared" ca="1" si="6"/>
        <v>9.8585816272519704</v>
      </c>
      <c r="IA15">
        <f t="shared" ca="1" si="6"/>
        <v>9.8622208827096287</v>
      </c>
      <c r="IB15">
        <f t="shared" ca="1" si="6"/>
        <v>9.8608990334509006</v>
      </c>
      <c r="IC15">
        <f t="shared" ca="1" si="6"/>
        <v>9.8624148949827326</v>
      </c>
      <c r="ID15">
        <f t="shared" ca="1" si="6"/>
        <v>9.8548023422118654</v>
      </c>
      <c r="IE15">
        <f t="shared" ca="1" si="6"/>
        <v>9.8597650630897675</v>
      </c>
      <c r="IF15">
        <f t="shared" ca="1" si="6"/>
        <v>9.8632142163000935</v>
      </c>
      <c r="IG15">
        <f t="shared" ca="1" si="6"/>
        <v>9.8579210596156557</v>
      </c>
      <c r="IH15">
        <f t="shared" ca="1" si="6"/>
        <v>9.8618649861837895</v>
      </c>
      <c r="II15">
        <f t="shared" ca="1" si="6"/>
        <v>9.8604481979591387</v>
      </c>
      <c r="IJ15">
        <f t="shared" ca="1" si="6"/>
        <v>9.855546514703196</v>
      </c>
      <c r="IK15">
        <f t="shared" ca="1" si="6"/>
        <v>9.8535277056903645</v>
      </c>
      <c r="IL15">
        <f t="shared" ca="1" si="6"/>
        <v>9.8600227681360444</v>
      </c>
      <c r="IM15">
        <f t="shared" ca="1" si="6"/>
        <v>9.8564973587820468</v>
      </c>
      <c r="IN15">
        <f t="shared" ca="1" si="6"/>
        <v>9.8606528055848379</v>
      </c>
      <c r="IO15">
        <f t="shared" ca="1" si="6"/>
        <v>9.8515067477495819</v>
      </c>
      <c r="IP15">
        <f t="shared" ca="1" si="6"/>
        <v>9.8560125043026758</v>
      </c>
      <c r="IQ15">
        <f t="shared" ca="1" si="6"/>
        <v>9.8587341019348145</v>
      </c>
      <c r="IR15">
        <f t="shared" ca="1" si="6"/>
        <v>9.8629835596068283</v>
      </c>
      <c r="IS15">
        <f t="shared" ca="1" si="6"/>
        <v>9.857098931805913</v>
      </c>
      <c r="IT15">
        <f t="shared" ca="1" si="6"/>
        <v>9.8580555201952151</v>
      </c>
      <c r="IU15">
        <f t="shared" ca="1" si="6"/>
        <v>9.85579931046877</v>
      </c>
      <c r="IV15">
        <f t="shared" ca="1" si="6"/>
        <v>9.8607456509796307</v>
      </c>
      <c r="IW15">
        <f t="shared" ca="1" si="6"/>
        <v>9.8644568349454929</v>
      </c>
      <c r="IX15">
        <f t="shared" ca="1" si="6"/>
        <v>9.8592930024624419</v>
      </c>
      <c r="IY15">
        <f t="shared" ref="IY15:LJ21" ca="1" si="7">$B2*EXP(($I2-$J3-($H2^2)/2)*(1/52)+$H2*SQRT(1/52)*_xlfn.NORM.INV(RAND(),0,1))</f>
        <v>9.8564983833405897</v>
      </c>
      <c r="IZ15">
        <f t="shared" ca="1" si="7"/>
        <v>9.8581479877798976</v>
      </c>
      <c r="JA15">
        <f t="shared" ca="1" si="7"/>
        <v>9.85828836918534</v>
      </c>
      <c r="JB15">
        <f t="shared" ca="1" si="7"/>
        <v>9.8559366579331602</v>
      </c>
      <c r="JC15">
        <f t="shared" ca="1" si="7"/>
        <v>9.8558335481471495</v>
      </c>
      <c r="JD15">
        <f t="shared" ca="1" si="7"/>
        <v>9.8599682261715813</v>
      </c>
      <c r="JE15">
        <f t="shared" ca="1" si="7"/>
        <v>9.8588660197179063</v>
      </c>
      <c r="JF15">
        <f t="shared" ca="1" si="7"/>
        <v>9.8567133675884619</v>
      </c>
      <c r="JG15">
        <f t="shared" ca="1" si="7"/>
        <v>9.8536064662934262</v>
      </c>
      <c r="JH15">
        <f t="shared" ca="1" si="7"/>
        <v>9.8608346213811497</v>
      </c>
      <c r="JI15">
        <f t="shared" ca="1" si="7"/>
        <v>9.8567174144524188</v>
      </c>
      <c r="JJ15">
        <f t="shared" ca="1" si="7"/>
        <v>9.8586100779777457</v>
      </c>
      <c r="JK15">
        <f t="shared" ca="1" si="7"/>
        <v>9.8604890974081307</v>
      </c>
      <c r="JL15">
        <f t="shared" ca="1" si="7"/>
        <v>9.8616248950604053</v>
      </c>
      <c r="JM15">
        <f t="shared" ca="1" si="7"/>
        <v>9.8573597764034631</v>
      </c>
      <c r="JN15">
        <f t="shared" ca="1" si="7"/>
        <v>9.8602452148311492</v>
      </c>
      <c r="JO15">
        <f t="shared" ca="1" si="7"/>
        <v>9.8580722906337872</v>
      </c>
      <c r="JP15">
        <f t="shared" ca="1" si="7"/>
        <v>9.8593833905583548</v>
      </c>
      <c r="JQ15">
        <f t="shared" ca="1" si="7"/>
        <v>9.8621580668289255</v>
      </c>
      <c r="JR15">
        <f t="shared" ca="1" si="7"/>
        <v>9.8562150928395038</v>
      </c>
      <c r="JS15">
        <f t="shared" ca="1" si="7"/>
        <v>9.8545419375095147</v>
      </c>
      <c r="JT15">
        <f t="shared" ca="1" si="7"/>
        <v>9.8558613711990883</v>
      </c>
      <c r="JU15">
        <f t="shared" ca="1" si="7"/>
        <v>9.8590524905798613</v>
      </c>
      <c r="JV15">
        <f t="shared" ca="1" si="7"/>
        <v>9.8582194704481942</v>
      </c>
      <c r="JW15">
        <f t="shared" ca="1" si="7"/>
        <v>9.8510531477753513</v>
      </c>
      <c r="JX15">
        <f t="shared" ca="1" si="7"/>
        <v>9.8585256808402555</v>
      </c>
      <c r="JY15">
        <f t="shared" ca="1" si="7"/>
        <v>9.8519246742398305</v>
      </c>
      <c r="JZ15">
        <f t="shared" ca="1" si="7"/>
        <v>9.8562544891391113</v>
      </c>
      <c r="KA15">
        <f t="shared" ca="1" si="7"/>
        <v>9.8604512405089775</v>
      </c>
      <c r="KB15">
        <f t="shared" ca="1" si="7"/>
        <v>9.8558482760444779</v>
      </c>
      <c r="KC15">
        <f t="shared" ca="1" si="7"/>
        <v>9.864828669906279</v>
      </c>
      <c r="KD15">
        <f t="shared" ca="1" si="7"/>
        <v>9.8579060518695947</v>
      </c>
      <c r="KE15">
        <f t="shared" ca="1" si="7"/>
        <v>9.8595528453263501</v>
      </c>
      <c r="KF15">
        <f t="shared" ca="1" si="7"/>
        <v>9.8552416701801722</v>
      </c>
      <c r="KG15">
        <f t="shared" ca="1" si="7"/>
        <v>9.8608180402982288</v>
      </c>
      <c r="KH15">
        <f t="shared" ca="1" si="7"/>
        <v>9.8573895185808613</v>
      </c>
      <c r="KI15">
        <f t="shared" ca="1" si="7"/>
        <v>9.8605691160612263</v>
      </c>
      <c r="KJ15">
        <f t="shared" ca="1" si="7"/>
        <v>9.8613730371491108</v>
      </c>
      <c r="KK15">
        <f t="shared" ca="1" si="7"/>
        <v>9.8541137770268534</v>
      </c>
      <c r="KL15">
        <f t="shared" ca="1" si="7"/>
        <v>9.8622665609135449</v>
      </c>
      <c r="KM15">
        <f t="shared" ca="1" si="7"/>
        <v>9.8531736747535952</v>
      </c>
      <c r="KN15">
        <f t="shared" ca="1" si="7"/>
        <v>9.8621400705032123</v>
      </c>
      <c r="KO15">
        <f t="shared" ca="1" si="7"/>
        <v>9.8583960997858942</v>
      </c>
      <c r="KP15">
        <f t="shared" ca="1" si="7"/>
        <v>9.8595611701765069</v>
      </c>
      <c r="KQ15">
        <f t="shared" ca="1" si="7"/>
        <v>9.8530226208454241</v>
      </c>
      <c r="KR15">
        <f t="shared" ca="1" si="7"/>
        <v>9.857257414025705</v>
      </c>
      <c r="KS15">
        <f t="shared" ca="1" si="7"/>
        <v>9.8566202698493672</v>
      </c>
      <c r="KT15">
        <f t="shared" ca="1" si="7"/>
        <v>9.8573463270620643</v>
      </c>
      <c r="KU15">
        <f t="shared" ca="1" si="7"/>
        <v>9.853144964983338</v>
      </c>
      <c r="KV15">
        <f t="shared" ca="1" si="7"/>
        <v>9.8551763619988488</v>
      </c>
      <c r="KW15">
        <f t="shared" ca="1" si="7"/>
        <v>9.8552506165097284</v>
      </c>
      <c r="KX15">
        <f t="shared" ca="1" si="7"/>
        <v>9.8597437982660026</v>
      </c>
      <c r="KY15">
        <f t="shared" ca="1" si="7"/>
        <v>9.8572203878013696</v>
      </c>
      <c r="KZ15">
        <f t="shared" ca="1" si="7"/>
        <v>9.8635420123009254</v>
      </c>
      <c r="LA15">
        <f t="shared" ca="1" si="7"/>
        <v>9.8558067203427573</v>
      </c>
      <c r="LB15">
        <f t="shared" ca="1" si="7"/>
        <v>9.8598685594819635</v>
      </c>
      <c r="LC15">
        <f t="shared" ca="1" si="7"/>
        <v>9.8625861625725957</v>
      </c>
      <c r="LD15">
        <f t="shared" ca="1" si="7"/>
        <v>9.857668800336727</v>
      </c>
      <c r="LE15">
        <f t="shared" ca="1" si="7"/>
        <v>9.8631843874980589</v>
      </c>
      <c r="LF15">
        <f t="shared" ca="1" si="7"/>
        <v>9.8567812550203229</v>
      </c>
      <c r="LG15">
        <f t="shared" ca="1" si="7"/>
        <v>9.859049374096001</v>
      </c>
      <c r="LH15">
        <f t="shared" ca="1" si="7"/>
        <v>9.8626058259188731</v>
      </c>
      <c r="LI15">
        <f t="shared" ca="1" si="7"/>
        <v>9.8575889989876337</v>
      </c>
      <c r="LJ15">
        <f t="shared" ca="1" si="7"/>
        <v>9.8599974141007518</v>
      </c>
      <c r="LK15">
        <f t="shared" ref="LK15:NV18" ca="1" si="8">$B2*EXP(($I2-$J3-($H2^2)/2)*(1/52)+$H2*SQRT(1/52)*_xlfn.NORM.INV(RAND(),0,1))</f>
        <v>9.8583031035520712</v>
      </c>
      <c r="LL15">
        <f t="shared" ca="1" si="8"/>
        <v>9.856365183837795</v>
      </c>
      <c r="LM15">
        <f t="shared" ca="1" si="8"/>
        <v>9.8605480163313644</v>
      </c>
      <c r="LN15">
        <f t="shared" ca="1" si="8"/>
        <v>9.8599414380634052</v>
      </c>
      <c r="LO15">
        <f t="shared" ca="1" si="8"/>
        <v>9.8592815340301936</v>
      </c>
      <c r="LP15">
        <f t="shared" ca="1" si="8"/>
        <v>9.8574750137655478</v>
      </c>
      <c r="LQ15">
        <f t="shared" ca="1" si="8"/>
        <v>9.8579425342758551</v>
      </c>
      <c r="LR15">
        <f t="shared" ca="1" si="8"/>
        <v>9.8566807240999701</v>
      </c>
      <c r="LS15">
        <f t="shared" ca="1" si="8"/>
        <v>9.8568282019907691</v>
      </c>
      <c r="LT15">
        <f t="shared" ca="1" si="8"/>
        <v>9.8564867282768667</v>
      </c>
      <c r="LU15">
        <f t="shared" ca="1" si="8"/>
        <v>9.8579683381778356</v>
      </c>
      <c r="LV15">
        <f t="shared" ca="1" si="8"/>
        <v>9.8604227168747638</v>
      </c>
      <c r="LW15">
        <f t="shared" ca="1" si="8"/>
        <v>9.8586787108049272</v>
      </c>
      <c r="LX15">
        <f t="shared" ca="1" si="8"/>
        <v>9.8548112091755371</v>
      </c>
      <c r="LY15">
        <f t="shared" ca="1" si="8"/>
        <v>9.8618360630840787</v>
      </c>
      <c r="LZ15">
        <f t="shared" ca="1" si="8"/>
        <v>9.8609758012897224</v>
      </c>
      <c r="MA15">
        <f t="shared" ca="1" si="8"/>
        <v>9.8547358756493342</v>
      </c>
      <c r="MB15">
        <f t="shared" ca="1" si="8"/>
        <v>9.8624814184531591</v>
      </c>
      <c r="MC15">
        <f t="shared" ca="1" si="8"/>
        <v>9.8620898074919729</v>
      </c>
      <c r="MD15">
        <f t="shared" ca="1" si="8"/>
        <v>9.8582798458257255</v>
      </c>
      <c r="ME15">
        <f t="shared" ca="1" si="8"/>
        <v>9.8569594907794471</v>
      </c>
      <c r="MF15">
        <f t="shared" ca="1" si="8"/>
        <v>9.8570551025458411</v>
      </c>
      <c r="MG15">
        <f t="shared" ca="1" si="8"/>
        <v>9.8610362721794544</v>
      </c>
      <c r="MH15">
        <f t="shared" ca="1" si="8"/>
        <v>9.8621514107367947</v>
      </c>
      <c r="MI15">
        <f t="shared" ca="1" si="8"/>
        <v>9.8588474808252489</v>
      </c>
      <c r="MJ15">
        <f t="shared" ca="1" si="8"/>
        <v>9.8552400079864757</v>
      </c>
      <c r="MK15">
        <f t="shared" ca="1" si="8"/>
        <v>9.8602751712160792</v>
      </c>
      <c r="ML15">
        <f t="shared" ca="1" si="8"/>
        <v>9.8617291989331868</v>
      </c>
      <c r="MM15">
        <f t="shared" ca="1" si="8"/>
        <v>9.8602970813799296</v>
      </c>
      <c r="MN15">
        <f t="shared" ca="1" si="8"/>
        <v>9.8568042010057297</v>
      </c>
      <c r="MO15">
        <f t="shared" ca="1" si="8"/>
        <v>9.8550901876313954</v>
      </c>
      <c r="MP15">
        <f t="shared" ca="1" si="8"/>
        <v>9.8558623390620479</v>
      </c>
      <c r="MQ15">
        <f t="shared" ca="1" si="8"/>
        <v>9.8537634159434795</v>
      </c>
      <c r="MR15">
        <f t="shared" ca="1" si="8"/>
        <v>9.8555195833213354</v>
      </c>
      <c r="MS15">
        <f t="shared" ca="1" si="8"/>
        <v>9.8556176859309854</v>
      </c>
      <c r="MT15">
        <f t="shared" ca="1" si="8"/>
        <v>9.8574278412627656</v>
      </c>
      <c r="MU15">
        <f t="shared" ca="1" si="8"/>
        <v>9.8582033489014087</v>
      </c>
      <c r="MV15">
        <f t="shared" ca="1" si="8"/>
        <v>9.8596819924737655</v>
      </c>
      <c r="MW15">
        <f t="shared" ca="1" si="8"/>
        <v>9.860877804754363</v>
      </c>
      <c r="MX15">
        <f t="shared" ca="1" si="8"/>
        <v>9.8618996581411</v>
      </c>
      <c r="MY15">
        <f t="shared" ca="1" si="8"/>
        <v>9.8578772601503299</v>
      </c>
      <c r="MZ15">
        <f t="shared" ca="1" si="8"/>
        <v>9.8557546488441403</v>
      </c>
      <c r="NA15">
        <f t="shared" ca="1" si="8"/>
        <v>9.8603842736792959</v>
      </c>
      <c r="NB15">
        <f t="shared" ca="1" si="8"/>
        <v>9.856786575897079</v>
      </c>
      <c r="NC15">
        <f t="shared" ca="1" si="8"/>
        <v>9.8602608737196125</v>
      </c>
      <c r="ND15">
        <f t="shared" ca="1" si="8"/>
        <v>9.8596801556863536</v>
      </c>
      <c r="NE15">
        <f t="shared" ca="1" si="8"/>
        <v>9.8546021281880982</v>
      </c>
      <c r="NF15">
        <f t="shared" ca="1" si="8"/>
        <v>9.8592008119795089</v>
      </c>
      <c r="NG15">
        <f t="shared" ca="1" si="8"/>
        <v>9.8547435459051087</v>
      </c>
      <c r="NH15">
        <f t="shared" ca="1" si="8"/>
        <v>9.862213817524399</v>
      </c>
      <c r="NI15">
        <f t="shared" ca="1" si="8"/>
        <v>9.8591016783025509</v>
      </c>
      <c r="NJ15">
        <f t="shared" ca="1" si="8"/>
        <v>9.8513629972726573</v>
      </c>
      <c r="NK15">
        <f t="shared" ca="1" si="8"/>
        <v>9.8587862018415375</v>
      </c>
      <c r="NL15">
        <f t="shared" ca="1" si="8"/>
        <v>9.8546141897721764</v>
      </c>
      <c r="NM15">
        <f t="shared" ca="1" si="8"/>
        <v>9.8554250971059325</v>
      </c>
      <c r="NN15">
        <f t="shared" ca="1" si="8"/>
        <v>9.8596897260483551</v>
      </c>
      <c r="NO15">
        <f t="shared" ca="1" si="8"/>
        <v>9.8610722264676394</v>
      </c>
      <c r="NP15">
        <f t="shared" ca="1" si="8"/>
        <v>9.8541363883176771</v>
      </c>
      <c r="NQ15">
        <f t="shared" ca="1" si="8"/>
        <v>9.8566392659212081</v>
      </c>
      <c r="NR15">
        <f t="shared" ca="1" si="8"/>
        <v>9.860320793347368</v>
      </c>
      <c r="NS15">
        <f t="shared" ca="1" si="8"/>
        <v>9.8613293338737336</v>
      </c>
      <c r="NT15">
        <f t="shared" ca="1" si="8"/>
        <v>9.8548759973720124</v>
      </c>
      <c r="NU15">
        <f t="shared" ca="1" si="8"/>
        <v>9.858338942926741</v>
      </c>
      <c r="NV15">
        <f t="shared" ca="1" si="8"/>
        <v>9.8575242494935491</v>
      </c>
      <c r="NW15">
        <f t="shared" ref="NW15:QH21" ca="1" si="9">$B2*EXP(($I2-$J3-($H2^2)/2)*(1/52)+$H2*SQRT(1/52)*_xlfn.NORM.INV(RAND(),0,1))</f>
        <v>9.8567169929957341</v>
      </c>
      <c r="NX15">
        <f t="shared" ca="1" si="9"/>
        <v>9.8568068402039142</v>
      </c>
      <c r="NY15">
        <f t="shared" ca="1" si="9"/>
        <v>9.858216627320882</v>
      </c>
      <c r="NZ15">
        <f t="shared" ca="1" si="9"/>
        <v>9.8643301713566931</v>
      </c>
      <c r="OA15">
        <f t="shared" ca="1" si="9"/>
        <v>9.8565671687749923</v>
      </c>
      <c r="OB15">
        <f t="shared" ca="1" si="9"/>
        <v>9.8544392400931038</v>
      </c>
      <c r="OC15">
        <f t="shared" ca="1" si="9"/>
        <v>9.8594330300323261</v>
      </c>
      <c r="OD15">
        <f t="shared" ca="1" si="9"/>
        <v>9.8580496523902532</v>
      </c>
      <c r="OE15">
        <f t="shared" ca="1" si="9"/>
        <v>9.8624355230251837</v>
      </c>
      <c r="OF15">
        <f t="shared" ca="1" si="9"/>
        <v>9.8561616068331102</v>
      </c>
      <c r="OG15">
        <f t="shared" ca="1" si="9"/>
        <v>9.8567946579399841</v>
      </c>
      <c r="OH15">
        <f t="shared" ca="1" si="9"/>
        <v>9.8570180738945972</v>
      </c>
      <c r="OI15">
        <f t="shared" ca="1" si="9"/>
        <v>9.8544912784609053</v>
      </c>
      <c r="OJ15">
        <f t="shared" ca="1" si="9"/>
        <v>9.8580205634039864</v>
      </c>
      <c r="OK15">
        <f t="shared" ca="1" si="9"/>
        <v>9.8555775809266546</v>
      </c>
      <c r="OL15">
        <f t="shared" ca="1" si="9"/>
        <v>9.8619420800647308</v>
      </c>
      <c r="OM15">
        <f t="shared" ca="1" si="9"/>
        <v>9.857998203570542</v>
      </c>
      <c r="ON15">
        <f t="shared" ca="1" si="9"/>
        <v>9.860206576562021</v>
      </c>
      <c r="OO15">
        <f t="shared" ca="1" si="9"/>
        <v>9.854986222782637</v>
      </c>
      <c r="OP15">
        <f t="shared" ca="1" si="9"/>
        <v>9.8575883554916537</v>
      </c>
      <c r="OQ15">
        <f t="shared" ca="1" si="9"/>
        <v>9.8615017242798562</v>
      </c>
      <c r="OR15">
        <f t="shared" ca="1" si="9"/>
        <v>9.8591080894304941</v>
      </c>
      <c r="OS15">
        <f t="shared" ca="1" si="9"/>
        <v>9.856718599366701</v>
      </c>
      <c r="OT15">
        <f t="shared" ca="1" si="9"/>
        <v>9.8623347684482852</v>
      </c>
      <c r="OU15">
        <f t="shared" ca="1" si="9"/>
        <v>9.8578293151728058</v>
      </c>
      <c r="OV15">
        <f t="shared" ca="1" si="9"/>
        <v>9.8570730093672729</v>
      </c>
      <c r="OW15">
        <f t="shared" ca="1" si="9"/>
        <v>9.8571091520781273</v>
      </c>
      <c r="OX15">
        <f t="shared" ca="1" si="9"/>
        <v>9.8627998911900345</v>
      </c>
      <c r="OY15">
        <f t="shared" ca="1" si="9"/>
        <v>9.8569021682033693</v>
      </c>
      <c r="OZ15">
        <f t="shared" ca="1" si="9"/>
        <v>9.8581641635554753</v>
      </c>
      <c r="PA15">
        <f t="shared" ca="1" si="9"/>
        <v>9.8615537272265001</v>
      </c>
      <c r="PB15">
        <f t="shared" ca="1" si="9"/>
        <v>9.8548536602972963</v>
      </c>
      <c r="PC15">
        <f t="shared" ca="1" si="9"/>
        <v>9.8557463908463507</v>
      </c>
      <c r="PD15">
        <f t="shared" ca="1" si="9"/>
        <v>9.8583331912499279</v>
      </c>
      <c r="PE15">
        <f t="shared" ca="1" si="9"/>
        <v>9.8608871550299959</v>
      </c>
      <c r="PF15">
        <f t="shared" ca="1" si="9"/>
        <v>9.8596241797215303</v>
      </c>
      <c r="PG15">
        <f t="shared" ca="1" si="9"/>
        <v>9.85849287041008</v>
      </c>
      <c r="PH15">
        <f t="shared" ca="1" si="9"/>
        <v>9.8582096195364439</v>
      </c>
      <c r="PI15">
        <f t="shared" ca="1" si="9"/>
        <v>9.8569763271196322</v>
      </c>
      <c r="PJ15">
        <f t="shared" ca="1" si="9"/>
        <v>9.8612293993269518</v>
      </c>
      <c r="PK15">
        <f t="shared" ca="1" si="9"/>
        <v>9.8597385723071973</v>
      </c>
      <c r="PL15">
        <f t="shared" ca="1" si="9"/>
        <v>9.8584411602994582</v>
      </c>
      <c r="PM15">
        <f t="shared" ca="1" si="9"/>
        <v>9.8574664698204177</v>
      </c>
      <c r="PN15">
        <f t="shared" ca="1" si="9"/>
        <v>9.8629888504819192</v>
      </c>
      <c r="PO15">
        <f t="shared" ca="1" si="9"/>
        <v>9.8593481630921218</v>
      </c>
      <c r="PP15">
        <f t="shared" ca="1" si="9"/>
        <v>9.8595271065352019</v>
      </c>
      <c r="PQ15">
        <f t="shared" ca="1" si="9"/>
        <v>9.8600146920057625</v>
      </c>
      <c r="PR15">
        <f t="shared" ca="1" si="9"/>
        <v>9.8577504602423733</v>
      </c>
      <c r="PS15">
        <f t="shared" ca="1" si="9"/>
        <v>9.8591391655793998</v>
      </c>
      <c r="PT15">
        <f t="shared" ca="1" si="9"/>
        <v>9.8581726892324006</v>
      </c>
      <c r="PU15">
        <f t="shared" ca="1" si="9"/>
        <v>9.8583061308817914</v>
      </c>
      <c r="PV15">
        <f t="shared" ca="1" si="9"/>
        <v>9.8602332427655295</v>
      </c>
      <c r="PW15">
        <f t="shared" ca="1" si="9"/>
        <v>9.8596387639627299</v>
      </c>
      <c r="PX15">
        <f t="shared" ca="1" si="9"/>
        <v>9.8570568218088894</v>
      </c>
      <c r="PY15">
        <f t="shared" ca="1" si="9"/>
        <v>9.8618904275029919</v>
      </c>
      <c r="PZ15">
        <f t="shared" ca="1" si="9"/>
        <v>9.8578693047465666</v>
      </c>
      <c r="QA15">
        <f t="shared" ca="1" si="9"/>
        <v>9.8553681895338521</v>
      </c>
      <c r="QB15">
        <f t="shared" ca="1" si="9"/>
        <v>9.8567276354152398</v>
      </c>
      <c r="QC15">
        <f t="shared" ca="1" si="9"/>
        <v>9.8579820004591774</v>
      </c>
      <c r="QD15">
        <f t="shared" ca="1" si="9"/>
        <v>9.8553712439346821</v>
      </c>
      <c r="QE15">
        <f t="shared" ca="1" si="9"/>
        <v>9.8612708019592272</v>
      </c>
      <c r="QF15">
        <f t="shared" ca="1" si="9"/>
        <v>9.8575251575013212</v>
      </c>
      <c r="QG15">
        <f t="shared" ca="1" si="9"/>
        <v>9.8603928749578067</v>
      </c>
      <c r="QH15">
        <f t="shared" ca="1" si="9"/>
        <v>9.8596165081110474</v>
      </c>
      <c r="QI15">
        <f t="shared" ref="QI15:SG19" ca="1" si="10">$B2*EXP(($I2-$J3-($H2^2)/2)*(1/52)+$H2*SQRT(1/52)*_xlfn.NORM.INV(RAND(),0,1))</f>
        <v>9.8562949423442578</v>
      </c>
      <c r="QJ15">
        <f t="shared" ca="1" si="10"/>
        <v>9.8528078577971687</v>
      </c>
      <c r="QK15">
        <f t="shared" ca="1" si="10"/>
        <v>9.8563278929387241</v>
      </c>
      <c r="QL15">
        <f t="shared" ca="1" si="10"/>
        <v>9.8568775549835674</v>
      </c>
      <c r="QM15">
        <f t="shared" ca="1" si="10"/>
        <v>9.8603185384283769</v>
      </c>
      <c r="QN15">
        <f t="shared" ca="1" si="10"/>
        <v>9.8550775571122848</v>
      </c>
      <c r="QO15">
        <f t="shared" ca="1" si="10"/>
        <v>9.8616350760882892</v>
      </c>
      <c r="QP15">
        <f t="shared" ca="1" si="10"/>
        <v>9.862943988022792</v>
      </c>
      <c r="QQ15">
        <f t="shared" ca="1" si="10"/>
        <v>9.8562932676013979</v>
      </c>
      <c r="QR15">
        <f t="shared" ca="1" si="10"/>
        <v>9.8572025759301951</v>
      </c>
      <c r="QS15">
        <f t="shared" ca="1" si="10"/>
        <v>9.8584411639499834</v>
      </c>
      <c r="QT15">
        <f t="shared" ca="1" si="10"/>
        <v>9.8559951682462312</v>
      </c>
      <c r="QU15">
        <f t="shared" ca="1" si="10"/>
        <v>9.8554285544819464</v>
      </c>
      <c r="QV15">
        <f t="shared" ca="1" si="10"/>
        <v>9.8569103354270364</v>
      </c>
      <c r="QW15">
        <f t="shared" ca="1" si="10"/>
        <v>9.8589693732882839</v>
      </c>
      <c r="QX15">
        <f t="shared" ca="1" si="10"/>
        <v>9.8595041600776394</v>
      </c>
      <c r="QY15">
        <f t="shared" ca="1" si="10"/>
        <v>9.8580522888137629</v>
      </c>
      <c r="QZ15">
        <f t="shared" ca="1" si="10"/>
        <v>9.857141460768819</v>
      </c>
      <c r="RA15">
        <f t="shared" ca="1" si="10"/>
        <v>9.8513587827483722</v>
      </c>
      <c r="RB15">
        <f t="shared" ca="1" si="10"/>
        <v>9.8577066188103508</v>
      </c>
      <c r="RC15">
        <f t="shared" ca="1" si="10"/>
        <v>9.8613579738111188</v>
      </c>
      <c r="RD15">
        <f t="shared" ca="1" si="10"/>
        <v>9.8591324490510779</v>
      </c>
      <c r="RE15">
        <f t="shared" ca="1" si="10"/>
        <v>9.8545939754937777</v>
      </c>
      <c r="RF15">
        <f t="shared" ca="1" si="10"/>
        <v>9.8600825921167896</v>
      </c>
      <c r="RG15">
        <f t="shared" ca="1" si="10"/>
        <v>9.8632752667074826</v>
      </c>
      <c r="RH15">
        <f t="shared" ca="1" si="10"/>
        <v>9.8596323400239978</v>
      </c>
      <c r="RI15">
        <f t="shared" ca="1" si="10"/>
        <v>9.8613769482270328</v>
      </c>
      <c r="RJ15">
        <f t="shared" ca="1" si="10"/>
        <v>9.8524299379028655</v>
      </c>
      <c r="RK15">
        <f t="shared" ca="1" si="10"/>
        <v>9.8550571415701107</v>
      </c>
      <c r="RL15">
        <f t="shared" ca="1" si="10"/>
        <v>9.8619618719344384</v>
      </c>
      <c r="RM15">
        <f t="shared" ca="1" si="10"/>
        <v>9.8581845593304376</v>
      </c>
      <c r="RN15">
        <f t="shared" ca="1" si="10"/>
        <v>9.8558236838422619</v>
      </c>
      <c r="RO15">
        <f t="shared" ca="1" si="10"/>
        <v>9.8554886331607676</v>
      </c>
      <c r="RP15">
        <f t="shared" ca="1" si="10"/>
        <v>9.8604292165923493</v>
      </c>
      <c r="RQ15">
        <f t="shared" ca="1" si="10"/>
        <v>9.8608703417252617</v>
      </c>
      <c r="RR15">
        <f t="shared" ca="1" si="10"/>
        <v>9.8576373592141469</v>
      </c>
      <c r="RS15">
        <f t="shared" ca="1" si="10"/>
        <v>9.8614225517011889</v>
      </c>
      <c r="RT15">
        <f t="shared" ca="1" si="10"/>
        <v>9.8576581511918029</v>
      </c>
      <c r="RU15">
        <f t="shared" ca="1" si="10"/>
        <v>9.8584208670908264</v>
      </c>
      <c r="RV15">
        <f t="shared" ca="1" si="10"/>
        <v>9.8626565684596024</v>
      </c>
      <c r="RW15">
        <f t="shared" ca="1" si="10"/>
        <v>9.8572838770500741</v>
      </c>
      <c r="RX15">
        <f t="shared" ca="1" si="10"/>
        <v>9.8575461175367316</v>
      </c>
      <c r="RY15">
        <f t="shared" ca="1" si="10"/>
        <v>9.8552132587151675</v>
      </c>
      <c r="RZ15">
        <f t="shared" ca="1" si="10"/>
        <v>9.8529478167979327</v>
      </c>
      <c r="SA15">
        <f t="shared" ca="1" si="10"/>
        <v>9.8538165366165664</v>
      </c>
      <c r="SB15">
        <f t="shared" ca="1" si="10"/>
        <v>9.859546585975032</v>
      </c>
      <c r="SC15">
        <f t="shared" ca="1" si="10"/>
        <v>9.8604190305910322</v>
      </c>
      <c r="SD15">
        <f t="shared" ca="1" si="10"/>
        <v>9.8524938616482913</v>
      </c>
      <c r="SE15">
        <f t="shared" ca="1" si="10"/>
        <v>9.8633367132657259</v>
      </c>
      <c r="SF15">
        <f t="shared" ca="1" si="10"/>
        <v>9.8592850122229283</v>
      </c>
      <c r="SG15">
        <f t="shared" ca="1" si="10"/>
        <v>9.8582988429307683</v>
      </c>
    </row>
    <row r="16" spans="1:501" x14ac:dyDescent="0.3">
      <c r="A16" s="1" t="s">
        <v>89</v>
      </c>
      <c r="B16">
        <f t="shared" ref="B16:Q23" ca="1" si="11">$B3*EXP(($I3-$J4-($H3^2)/2)*(1/52)+$H3*SQRT(1/52)*_xlfn.NORM.INV(RAND(),0,1))</f>
        <v>9.7930786065328927</v>
      </c>
      <c r="C16">
        <f t="shared" ca="1" si="11"/>
        <v>9.7889464055363256</v>
      </c>
      <c r="D16">
        <f t="shared" ca="1" si="11"/>
        <v>9.7878585502739064</v>
      </c>
      <c r="E16">
        <f t="shared" ca="1" si="11"/>
        <v>9.7887106977982317</v>
      </c>
      <c r="F16">
        <f t="shared" ca="1" si="11"/>
        <v>9.7906990537565886</v>
      </c>
      <c r="G16">
        <f t="shared" ca="1" si="11"/>
        <v>9.7888667367213866</v>
      </c>
      <c r="H16">
        <f t="shared" ca="1" si="11"/>
        <v>9.7889500946070971</v>
      </c>
      <c r="I16">
        <f t="shared" ca="1" si="11"/>
        <v>9.7866510219220313</v>
      </c>
      <c r="J16">
        <f t="shared" ca="1" si="11"/>
        <v>9.7890037270717354</v>
      </c>
      <c r="K16">
        <f t="shared" ca="1" si="11"/>
        <v>9.7881590054357446</v>
      </c>
      <c r="L16">
        <f t="shared" ca="1" si="11"/>
        <v>9.7931501233002134</v>
      </c>
      <c r="M16">
        <f t="shared" ca="1" si="11"/>
        <v>9.7871353379283814</v>
      </c>
      <c r="N16">
        <f t="shared" ca="1" si="11"/>
        <v>9.7884962623920462</v>
      </c>
      <c r="O16">
        <f t="shared" ca="1" si="11"/>
        <v>9.7856571396886842</v>
      </c>
      <c r="P16">
        <f t="shared" ca="1" si="11"/>
        <v>9.7895540755311892</v>
      </c>
      <c r="Q16">
        <f t="shared" ca="1" si="11"/>
        <v>9.7872837335317282</v>
      </c>
      <c r="R16">
        <f t="shared" ca="1" si="3"/>
        <v>9.7914802866525417</v>
      </c>
      <c r="S16">
        <f t="shared" ca="1" si="3"/>
        <v>9.7853111595605959</v>
      </c>
      <c r="T16">
        <f t="shared" ca="1" si="3"/>
        <v>9.7878443362983294</v>
      </c>
      <c r="U16">
        <f t="shared" ca="1" si="3"/>
        <v>9.7871237263815196</v>
      </c>
      <c r="V16">
        <f t="shared" ca="1" si="3"/>
        <v>9.7948098165507638</v>
      </c>
      <c r="W16">
        <f t="shared" ca="1" si="3"/>
        <v>9.7821093938425818</v>
      </c>
      <c r="X16">
        <f t="shared" ca="1" si="3"/>
        <v>9.7889460114387852</v>
      </c>
      <c r="Y16">
        <f t="shared" ca="1" si="3"/>
        <v>9.7897901101106388</v>
      </c>
      <c r="Z16">
        <f t="shared" ca="1" si="3"/>
        <v>9.7877031758358655</v>
      </c>
      <c r="AA16">
        <f t="shared" ca="1" si="3"/>
        <v>9.788323058038884</v>
      </c>
      <c r="AB16">
        <f t="shared" ca="1" si="3"/>
        <v>9.7896187127126524</v>
      </c>
      <c r="AC16">
        <f t="shared" ca="1" si="3"/>
        <v>9.7869580816105444</v>
      </c>
      <c r="AD16">
        <f t="shared" ca="1" si="3"/>
        <v>9.7864452096645334</v>
      </c>
      <c r="AE16">
        <f t="shared" ca="1" si="3"/>
        <v>9.7869461860045668</v>
      </c>
      <c r="AF16">
        <f t="shared" ca="1" si="3"/>
        <v>9.7879060585390061</v>
      </c>
      <c r="AG16">
        <f t="shared" ca="1" si="3"/>
        <v>9.7876381896112523</v>
      </c>
      <c r="AH16">
        <f t="shared" ca="1" si="3"/>
        <v>9.790981672431549</v>
      </c>
      <c r="AI16">
        <f t="shared" ca="1" si="3"/>
        <v>9.7892219591319716</v>
      </c>
      <c r="AJ16">
        <f t="shared" ca="1" si="3"/>
        <v>9.7838769306630571</v>
      </c>
      <c r="AK16">
        <f t="shared" ca="1" si="3"/>
        <v>9.7855175524129052</v>
      </c>
      <c r="AL16">
        <f t="shared" ca="1" si="3"/>
        <v>9.7876884489913643</v>
      </c>
      <c r="AM16">
        <f t="shared" ca="1" si="3"/>
        <v>9.7852735064147485</v>
      </c>
      <c r="AN16">
        <f t="shared" ca="1" si="3"/>
        <v>9.7814518622870192</v>
      </c>
      <c r="AO16">
        <f t="shared" ca="1" si="3"/>
        <v>9.7873676794638396</v>
      </c>
      <c r="AP16">
        <f t="shared" ca="1" si="3"/>
        <v>9.7913293125131897</v>
      </c>
      <c r="AQ16">
        <f t="shared" ca="1" si="3"/>
        <v>9.7887734540568889</v>
      </c>
      <c r="AR16">
        <f t="shared" ca="1" si="3"/>
        <v>9.7903833439314436</v>
      </c>
      <c r="AS16">
        <f t="shared" ca="1" si="3"/>
        <v>9.7888260093090018</v>
      </c>
      <c r="AT16">
        <f t="shared" ca="1" si="3"/>
        <v>9.7868086076461935</v>
      </c>
      <c r="AU16">
        <f t="shared" ca="1" si="3"/>
        <v>9.790047410167265</v>
      </c>
      <c r="AV16">
        <f t="shared" ca="1" si="3"/>
        <v>9.7889307229003055</v>
      </c>
      <c r="AW16">
        <f t="shared" ca="1" si="3"/>
        <v>9.7893500649266887</v>
      </c>
      <c r="AX16">
        <f t="shared" ca="1" si="3"/>
        <v>9.7858551332499992</v>
      </c>
      <c r="AY16">
        <f t="shared" ca="1" si="3"/>
        <v>9.7878122737744917</v>
      </c>
      <c r="AZ16">
        <f t="shared" ca="1" si="3"/>
        <v>9.7911124038045685</v>
      </c>
      <c r="BA16">
        <f t="shared" ca="1" si="3"/>
        <v>9.7903914955463431</v>
      </c>
      <c r="BB16">
        <f t="shared" ca="1" si="3"/>
        <v>9.7892281564203945</v>
      </c>
      <c r="BC16">
        <f t="shared" ca="1" si="3"/>
        <v>9.788623900590979</v>
      </c>
      <c r="BD16">
        <f t="shared" ca="1" si="3"/>
        <v>9.7839691694077171</v>
      </c>
      <c r="BE16">
        <f t="shared" ca="1" si="3"/>
        <v>9.7928718045059853</v>
      </c>
      <c r="BF16">
        <f t="shared" ca="1" si="3"/>
        <v>9.789204759226358</v>
      </c>
      <c r="BG16">
        <f t="shared" ca="1" si="3"/>
        <v>9.7873361190974357</v>
      </c>
      <c r="BH16">
        <f t="shared" ca="1" si="3"/>
        <v>9.789259082590231</v>
      </c>
      <c r="BI16">
        <f t="shared" ca="1" si="3"/>
        <v>9.7890508404418739</v>
      </c>
      <c r="BJ16">
        <f t="shared" ca="1" si="3"/>
        <v>9.7827120002801387</v>
      </c>
      <c r="BK16">
        <f t="shared" ca="1" si="3"/>
        <v>9.78800311752304</v>
      </c>
      <c r="BL16">
        <f t="shared" ca="1" si="3"/>
        <v>9.7865754057527941</v>
      </c>
      <c r="BM16">
        <f t="shared" ca="1" si="3"/>
        <v>9.7855263917623514</v>
      </c>
      <c r="BN16">
        <f t="shared" ca="1" si="3"/>
        <v>9.7847912219947641</v>
      </c>
      <c r="BO16">
        <f t="shared" ca="1" si="4"/>
        <v>9.7890022539375288</v>
      </c>
      <c r="BP16">
        <f t="shared" ca="1" si="4"/>
        <v>9.7908440287807661</v>
      </c>
      <c r="BQ16">
        <f t="shared" ca="1" si="4"/>
        <v>9.7901745536328217</v>
      </c>
      <c r="BR16">
        <f t="shared" ca="1" si="4"/>
        <v>9.789934314421739</v>
      </c>
      <c r="BS16">
        <f t="shared" ca="1" si="4"/>
        <v>9.7869663043626574</v>
      </c>
      <c r="BT16">
        <f t="shared" ca="1" si="4"/>
        <v>9.7861474115102531</v>
      </c>
      <c r="BU16">
        <f t="shared" ca="1" si="4"/>
        <v>9.7884247765240531</v>
      </c>
      <c r="BV16">
        <f t="shared" ca="1" si="4"/>
        <v>9.7913235654359241</v>
      </c>
      <c r="BW16">
        <f t="shared" ca="1" si="4"/>
        <v>9.7840891046363812</v>
      </c>
      <c r="BX16">
        <f t="shared" ca="1" si="4"/>
        <v>9.7842229149538316</v>
      </c>
      <c r="BY16">
        <f t="shared" ca="1" si="4"/>
        <v>9.7930469179152038</v>
      </c>
      <c r="BZ16">
        <f t="shared" ca="1" si="4"/>
        <v>9.7896534500451153</v>
      </c>
      <c r="CA16">
        <f t="shared" ca="1" si="4"/>
        <v>9.7864402754583057</v>
      </c>
      <c r="CB16">
        <f t="shared" ca="1" si="4"/>
        <v>9.7883302029743788</v>
      </c>
      <c r="CC16">
        <f t="shared" ca="1" si="4"/>
        <v>9.7905034633665124</v>
      </c>
      <c r="CD16">
        <f t="shared" ca="1" si="4"/>
        <v>9.7878148784963326</v>
      </c>
      <c r="CE16">
        <f t="shared" ca="1" si="4"/>
        <v>9.7826956642412881</v>
      </c>
      <c r="CF16">
        <f t="shared" ca="1" si="4"/>
        <v>9.791666481133575</v>
      </c>
      <c r="CG16">
        <f t="shared" ca="1" si="4"/>
        <v>9.7881894621250645</v>
      </c>
      <c r="CH16">
        <f t="shared" ca="1" si="4"/>
        <v>9.7909388041544414</v>
      </c>
      <c r="CI16">
        <f t="shared" ca="1" si="4"/>
        <v>9.7869472111276501</v>
      </c>
      <c r="CJ16">
        <f t="shared" ca="1" si="4"/>
        <v>9.7888304604288905</v>
      </c>
      <c r="CK16">
        <f t="shared" ca="1" si="4"/>
        <v>9.7855876311096068</v>
      </c>
      <c r="CL16">
        <f t="shared" ca="1" si="4"/>
        <v>9.7878664348907289</v>
      </c>
      <c r="CM16">
        <f t="shared" ca="1" si="4"/>
        <v>9.7881650708757491</v>
      </c>
      <c r="CN16">
        <f t="shared" ca="1" si="4"/>
        <v>9.7883940864318983</v>
      </c>
      <c r="CO16">
        <f t="shared" ca="1" si="4"/>
        <v>9.7887503386344861</v>
      </c>
      <c r="CP16">
        <f t="shared" ca="1" si="4"/>
        <v>9.7882651542859733</v>
      </c>
      <c r="CQ16">
        <f t="shared" ca="1" si="4"/>
        <v>9.7932402216765535</v>
      </c>
      <c r="CR16">
        <f t="shared" ca="1" si="4"/>
        <v>9.7908906168176308</v>
      </c>
      <c r="CS16">
        <f t="shared" ca="1" si="4"/>
        <v>9.7863564262866305</v>
      </c>
      <c r="CT16">
        <f t="shared" ca="1" si="4"/>
        <v>9.7916183013258546</v>
      </c>
      <c r="CU16">
        <f t="shared" ca="1" si="4"/>
        <v>9.785424460313731</v>
      </c>
      <c r="CV16">
        <f t="shared" ca="1" si="4"/>
        <v>9.7852451996365382</v>
      </c>
      <c r="CW16">
        <f t="shared" ca="1" si="4"/>
        <v>9.7878354398707526</v>
      </c>
      <c r="CX16">
        <f t="shared" ca="1" si="4"/>
        <v>9.786163147968022</v>
      </c>
      <c r="CY16">
        <f t="shared" ca="1" si="4"/>
        <v>9.7938531018331165</v>
      </c>
      <c r="CZ16">
        <f t="shared" ca="1" si="4"/>
        <v>9.786547612416161</v>
      </c>
      <c r="DA16">
        <f t="shared" ca="1" si="4"/>
        <v>9.789783071262713</v>
      </c>
      <c r="DB16">
        <f t="shared" ca="1" si="4"/>
        <v>9.7901241086568014</v>
      </c>
      <c r="DC16">
        <f t="shared" ca="1" si="4"/>
        <v>9.7901985265836515</v>
      </c>
      <c r="DD16">
        <f t="shared" ca="1" si="4"/>
        <v>9.7856454953474952</v>
      </c>
      <c r="DE16">
        <f t="shared" ca="1" si="4"/>
        <v>9.7875399934652627</v>
      </c>
      <c r="DF16">
        <f t="shared" ca="1" si="4"/>
        <v>9.785627778964491</v>
      </c>
      <c r="DG16">
        <f t="shared" ca="1" si="4"/>
        <v>9.789676907542642</v>
      </c>
      <c r="DH16">
        <f t="shared" ca="1" si="4"/>
        <v>9.7914622915632314</v>
      </c>
      <c r="DI16">
        <f t="shared" ca="1" si="4"/>
        <v>9.7854427500726633</v>
      </c>
      <c r="DJ16">
        <f t="shared" ca="1" si="4"/>
        <v>9.7915615905907636</v>
      </c>
      <c r="DK16">
        <f t="shared" ca="1" si="4"/>
        <v>9.789747239298233</v>
      </c>
      <c r="DL16">
        <f t="shared" ca="1" si="4"/>
        <v>9.7892740888950414</v>
      </c>
      <c r="DM16">
        <f t="shared" ca="1" si="4"/>
        <v>9.7868825709823177</v>
      </c>
      <c r="DN16">
        <f t="shared" ca="1" si="4"/>
        <v>9.7892733752389418</v>
      </c>
      <c r="DO16">
        <f t="shared" ca="1" si="4"/>
        <v>9.7895416650791152</v>
      </c>
      <c r="DP16">
        <f t="shared" ca="1" si="4"/>
        <v>9.7885732351866288</v>
      </c>
      <c r="DQ16">
        <f t="shared" ca="1" si="4"/>
        <v>9.7873471813701229</v>
      </c>
      <c r="DR16">
        <f t="shared" ca="1" si="4"/>
        <v>9.7866590271297227</v>
      </c>
      <c r="DS16">
        <f t="shared" ca="1" si="4"/>
        <v>9.791175627791679</v>
      </c>
      <c r="DT16">
        <f t="shared" ca="1" si="4"/>
        <v>9.7912056479642526</v>
      </c>
      <c r="DU16">
        <f t="shared" ca="1" si="4"/>
        <v>9.7878727974032955</v>
      </c>
      <c r="DV16">
        <f t="shared" ca="1" si="4"/>
        <v>9.7874964833300826</v>
      </c>
      <c r="DW16">
        <f t="shared" ca="1" si="4"/>
        <v>9.7912805710640249</v>
      </c>
      <c r="DX16">
        <f t="shared" ca="1" si="4"/>
        <v>9.78634855360899</v>
      </c>
      <c r="DY16">
        <f t="shared" ca="1" si="4"/>
        <v>9.7914488369127817</v>
      </c>
      <c r="DZ16">
        <f t="shared" ca="1" si="4"/>
        <v>9.7920361659050279</v>
      </c>
      <c r="EA16">
        <f t="shared" ca="1" si="5"/>
        <v>9.7879228176116815</v>
      </c>
      <c r="EB16">
        <f t="shared" ca="1" si="5"/>
        <v>9.790151321559085</v>
      </c>
      <c r="EC16">
        <f t="shared" ca="1" si="5"/>
        <v>9.7905486322702178</v>
      </c>
      <c r="ED16">
        <f t="shared" ca="1" si="5"/>
        <v>9.7871017899392232</v>
      </c>
      <c r="EE16">
        <f t="shared" ca="1" si="5"/>
        <v>9.7892688390664269</v>
      </c>
      <c r="EF16">
        <f t="shared" ca="1" si="5"/>
        <v>9.7830787272215307</v>
      </c>
      <c r="EG16">
        <f t="shared" ca="1" si="5"/>
        <v>9.7907481376395502</v>
      </c>
      <c r="EH16">
        <f t="shared" ca="1" si="5"/>
        <v>9.7911434318179005</v>
      </c>
      <c r="EI16">
        <f t="shared" ca="1" si="5"/>
        <v>9.794146293381095</v>
      </c>
      <c r="EJ16">
        <f t="shared" ca="1" si="5"/>
        <v>9.7907496910116993</v>
      </c>
      <c r="EK16">
        <f t="shared" ca="1" si="5"/>
        <v>9.7838265209350226</v>
      </c>
      <c r="EL16">
        <f t="shared" ca="1" si="5"/>
        <v>9.7900923618321958</v>
      </c>
      <c r="EM16">
        <f t="shared" ca="1" si="5"/>
        <v>9.7828760229731984</v>
      </c>
      <c r="EN16">
        <f t="shared" ca="1" si="5"/>
        <v>9.790412669254609</v>
      </c>
      <c r="EO16">
        <f t="shared" ca="1" si="5"/>
        <v>9.7903120244717652</v>
      </c>
      <c r="EP16">
        <f t="shared" ca="1" si="5"/>
        <v>9.7914187215212554</v>
      </c>
      <c r="EQ16">
        <f t="shared" ca="1" si="5"/>
        <v>9.7880672167682867</v>
      </c>
      <c r="ER16">
        <f t="shared" ca="1" si="5"/>
        <v>9.7876900203082204</v>
      </c>
      <c r="ES16">
        <f t="shared" ca="1" si="5"/>
        <v>9.7891771511997216</v>
      </c>
      <c r="ET16">
        <f t="shared" ca="1" si="5"/>
        <v>9.7872776133240311</v>
      </c>
      <c r="EU16">
        <f t="shared" ca="1" si="5"/>
        <v>9.7906395648702809</v>
      </c>
      <c r="EV16">
        <f t="shared" ca="1" si="5"/>
        <v>9.7891979764040027</v>
      </c>
      <c r="EW16">
        <f t="shared" ca="1" si="5"/>
        <v>9.7834168310147902</v>
      </c>
      <c r="EX16">
        <f t="shared" ca="1" si="5"/>
        <v>9.7827481448976279</v>
      </c>
      <c r="EY16">
        <f t="shared" ca="1" si="5"/>
        <v>9.7855452623582302</v>
      </c>
      <c r="EZ16">
        <f t="shared" ca="1" si="5"/>
        <v>9.789231289757069</v>
      </c>
      <c r="FA16">
        <f t="shared" ca="1" si="5"/>
        <v>9.7905319504069226</v>
      </c>
      <c r="FB16">
        <f t="shared" ca="1" si="5"/>
        <v>9.7925012723748583</v>
      </c>
      <c r="FC16">
        <f t="shared" ca="1" si="5"/>
        <v>9.7865625725240992</v>
      </c>
      <c r="FD16">
        <f t="shared" ca="1" si="5"/>
        <v>9.7882233101532634</v>
      </c>
      <c r="FE16">
        <f t="shared" ca="1" si="5"/>
        <v>9.7893053178004923</v>
      </c>
      <c r="FF16">
        <f t="shared" ca="1" si="5"/>
        <v>9.7894587533930899</v>
      </c>
      <c r="FG16">
        <f t="shared" ca="1" si="5"/>
        <v>9.7904861789536799</v>
      </c>
      <c r="FH16">
        <f t="shared" ca="1" si="5"/>
        <v>9.7945661925269114</v>
      </c>
      <c r="FI16">
        <f t="shared" ca="1" si="5"/>
        <v>9.7849081612075555</v>
      </c>
      <c r="FJ16">
        <f t="shared" ca="1" si="5"/>
        <v>9.794041960116072</v>
      </c>
      <c r="FK16">
        <f t="shared" ca="1" si="5"/>
        <v>9.7876187589064507</v>
      </c>
      <c r="FL16">
        <f t="shared" ca="1" si="5"/>
        <v>9.7824531590662964</v>
      </c>
      <c r="FM16">
        <f t="shared" ca="1" si="5"/>
        <v>9.7886061219279306</v>
      </c>
      <c r="FN16">
        <f t="shared" ca="1" si="5"/>
        <v>9.7922002828577206</v>
      </c>
      <c r="FO16">
        <f t="shared" ca="1" si="5"/>
        <v>9.7907019989566155</v>
      </c>
      <c r="FP16">
        <f t="shared" ca="1" si="5"/>
        <v>9.7886424392229738</v>
      </c>
      <c r="FQ16">
        <f t="shared" ca="1" si="5"/>
        <v>9.7851577812118755</v>
      </c>
      <c r="FR16">
        <f t="shared" ca="1" si="5"/>
        <v>9.7874156881881582</v>
      </c>
      <c r="FS16">
        <f t="shared" ca="1" si="5"/>
        <v>9.7893674309334582</v>
      </c>
      <c r="FT16">
        <f t="shared" ca="1" si="5"/>
        <v>9.7861188438549114</v>
      </c>
      <c r="FU16">
        <f t="shared" ca="1" si="5"/>
        <v>9.7903589931292387</v>
      </c>
      <c r="FV16">
        <f t="shared" ca="1" si="5"/>
        <v>9.783295543863515</v>
      </c>
      <c r="FW16">
        <f t="shared" ca="1" si="5"/>
        <v>9.7879993814379826</v>
      </c>
      <c r="FX16">
        <f t="shared" ca="1" si="5"/>
        <v>9.7882999014818992</v>
      </c>
      <c r="FY16">
        <f t="shared" ca="1" si="5"/>
        <v>9.7903042613821807</v>
      </c>
      <c r="FZ16">
        <f t="shared" ca="1" si="5"/>
        <v>9.793269270987599</v>
      </c>
      <c r="GA16">
        <f t="shared" ca="1" si="5"/>
        <v>9.7842051479381986</v>
      </c>
      <c r="GB16">
        <f t="shared" ca="1" si="5"/>
        <v>9.7878199428532593</v>
      </c>
      <c r="GC16">
        <f t="shared" ca="1" si="5"/>
        <v>9.787014422042196</v>
      </c>
      <c r="GD16">
        <f t="shared" ca="1" si="5"/>
        <v>9.7881818861659653</v>
      </c>
      <c r="GE16">
        <f t="shared" ca="1" si="5"/>
        <v>9.7885183296582419</v>
      </c>
      <c r="GF16">
        <f t="shared" ca="1" si="5"/>
        <v>9.7889912267860542</v>
      </c>
      <c r="GG16">
        <f t="shared" ca="1" si="5"/>
        <v>9.789378182243297</v>
      </c>
      <c r="GH16">
        <f t="shared" ca="1" si="5"/>
        <v>9.7846272390946023</v>
      </c>
      <c r="GI16">
        <f t="shared" ca="1" si="5"/>
        <v>9.7932929340103314</v>
      </c>
      <c r="GJ16">
        <f t="shared" ca="1" si="5"/>
        <v>9.7856177423958961</v>
      </c>
      <c r="GK16">
        <f t="shared" ca="1" si="5"/>
        <v>9.7860141799178741</v>
      </c>
      <c r="GL16">
        <f t="shared" ca="1" si="5"/>
        <v>9.7866669631923706</v>
      </c>
      <c r="GM16">
        <f t="shared" ca="1" si="6"/>
        <v>9.7903321520652984</v>
      </c>
      <c r="GN16">
        <f t="shared" ca="1" si="6"/>
        <v>9.7886940397407791</v>
      </c>
      <c r="GO16">
        <f t="shared" ca="1" si="6"/>
        <v>9.7844180790114628</v>
      </c>
      <c r="GP16">
        <f t="shared" ca="1" si="6"/>
        <v>9.7871988765947435</v>
      </c>
      <c r="GQ16">
        <f t="shared" ca="1" si="6"/>
        <v>9.7930172782856371</v>
      </c>
      <c r="GR16">
        <f t="shared" ca="1" si="6"/>
        <v>9.7899018970624549</v>
      </c>
      <c r="GS16">
        <f t="shared" ca="1" si="6"/>
        <v>9.7897379425069211</v>
      </c>
      <c r="GT16">
        <f t="shared" ca="1" si="6"/>
        <v>9.785334337398746</v>
      </c>
      <c r="GU16">
        <f t="shared" ca="1" si="6"/>
        <v>9.7892137123771512</v>
      </c>
      <c r="GV16">
        <f t="shared" ca="1" si="6"/>
        <v>9.7908057497175491</v>
      </c>
      <c r="GW16">
        <f t="shared" ca="1" si="6"/>
        <v>9.7909027283370946</v>
      </c>
      <c r="GX16">
        <f t="shared" ca="1" si="6"/>
        <v>9.7859554282165586</v>
      </c>
      <c r="GY16">
        <f t="shared" ca="1" si="6"/>
        <v>9.7902161092477868</v>
      </c>
      <c r="GZ16">
        <f t="shared" ca="1" si="6"/>
        <v>9.7863651558657558</v>
      </c>
      <c r="HA16">
        <f t="shared" ca="1" si="6"/>
        <v>9.7889908198562736</v>
      </c>
      <c r="HB16">
        <f t="shared" ca="1" si="6"/>
        <v>9.7838826624354915</v>
      </c>
      <c r="HC16">
        <f t="shared" ca="1" si="6"/>
        <v>9.7879807158630108</v>
      </c>
      <c r="HD16">
        <f t="shared" ca="1" si="6"/>
        <v>9.7870747283685038</v>
      </c>
      <c r="HE16">
        <f t="shared" ca="1" si="6"/>
        <v>9.786575464119883</v>
      </c>
      <c r="HF16">
        <f t="shared" ca="1" si="6"/>
        <v>9.7916403726970618</v>
      </c>
      <c r="HG16">
        <f t="shared" ca="1" si="6"/>
        <v>9.7871017970466347</v>
      </c>
      <c r="HH16">
        <f t="shared" ca="1" si="6"/>
        <v>9.7883657239090436</v>
      </c>
      <c r="HI16">
        <f t="shared" ca="1" si="6"/>
        <v>9.7866645919015482</v>
      </c>
      <c r="HJ16">
        <f t="shared" ca="1" si="6"/>
        <v>9.7816860184246988</v>
      </c>
      <c r="HK16">
        <f t="shared" ca="1" si="6"/>
        <v>9.7893908232193603</v>
      </c>
      <c r="HL16">
        <f t="shared" ca="1" si="6"/>
        <v>9.7907164493513736</v>
      </c>
      <c r="HM16">
        <f t="shared" ca="1" si="6"/>
        <v>9.7854132335732054</v>
      </c>
      <c r="HN16">
        <f t="shared" ca="1" si="6"/>
        <v>9.7854738033711239</v>
      </c>
      <c r="HO16">
        <f t="shared" ca="1" si="6"/>
        <v>9.7909354623026008</v>
      </c>
      <c r="HP16">
        <f t="shared" ca="1" si="6"/>
        <v>9.7906180147532105</v>
      </c>
      <c r="HQ16">
        <f t="shared" ca="1" si="6"/>
        <v>9.7852073682968737</v>
      </c>
      <c r="HR16">
        <f t="shared" ca="1" si="6"/>
        <v>9.7915745302652297</v>
      </c>
      <c r="HS16">
        <f t="shared" ca="1" si="6"/>
        <v>9.7880233512190156</v>
      </c>
      <c r="HT16">
        <f t="shared" ca="1" si="6"/>
        <v>9.791608247366181</v>
      </c>
      <c r="HU16">
        <f t="shared" ca="1" si="6"/>
        <v>9.7863019876559498</v>
      </c>
      <c r="HV16">
        <f t="shared" ca="1" si="6"/>
        <v>9.7882780656274821</v>
      </c>
      <c r="HW16">
        <f t="shared" ca="1" si="6"/>
        <v>9.7897116935306858</v>
      </c>
      <c r="HX16">
        <f t="shared" ca="1" si="6"/>
        <v>9.7879729945029315</v>
      </c>
      <c r="HY16">
        <f t="shared" ca="1" si="6"/>
        <v>9.7870295561589788</v>
      </c>
      <c r="HZ16">
        <f t="shared" ca="1" si="6"/>
        <v>9.7859665510890395</v>
      </c>
      <c r="IA16">
        <f t="shared" ca="1" si="6"/>
        <v>9.7906393543061387</v>
      </c>
      <c r="IB16">
        <f t="shared" ca="1" si="6"/>
        <v>9.788012473119041</v>
      </c>
      <c r="IC16">
        <f t="shared" ca="1" si="6"/>
        <v>9.7869504054784109</v>
      </c>
      <c r="ID16">
        <f t="shared" ca="1" si="6"/>
        <v>9.788751799396989</v>
      </c>
      <c r="IE16">
        <f t="shared" ca="1" si="6"/>
        <v>9.7905631591862345</v>
      </c>
      <c r="IF16">
        <f t="shared" ca="1" si="6"/>
        <v>9.7916557392428647</v>
      </c>
      <c r="IG16">
        <f t="shared" ca="1" si="6"/>
        <v>9.7880451661951771</v>
      </c>
      <c r="IH16">
        <f t="shared" ca="1" si="6"/>
        <v>9.7890817704522384</v>
      </c>
      <c r="II16">
        <f t="shared" ca="1" si="6"/>
        <v>9.7866803869159096</v>
      </c>
      <c r="IJ16">
        <f t="shared" ca="1" si="6"/>
        <v>9.7900702405991051</v>
      </c>
      <c r="IK16">
        <f t="shared" ca="1" si="6"/>
        <v>9.7857335272895991</v>
      </c>
      <c r="IL16">
        <f t="shared" ca="1" si="6"/>
        <v>9.7874474447246698</v>
      </c>
      <c r="IM16">
        <f t="shared" ca="1" si="6"/>
        <v>9.7908377384532805</v>
      </c>
      <c r="IN16">
        <f t="shared" ca="1" si="6"/>
        <v>9.7903869728190109</v>
      </c>
      <c r="IO16">
        <f t="shared" ca="1" si="6"/>
        <v>9.7901022529786914</v>
      </c>
      <c r="IP16">
        <f t="shared" ca="1" si="6"/>
        <v>9.792022121657407</v>
      </c>
      <c r="IQ16">
        <f t="shared" ca="1" si="6"/>
        <v>9.7864133708407728</v>
      </c>
      <c r="IR16">
        <f t="shared" ca="1" si="6"/>
        <v>9.7864745373449527</v>
      </c>
      <c r="IS16">
        <f t="shared" ca="1" si="6"/>
        <v>9.7858709929929617</v>
      </c>
      <c r="IT16">
        <f t="shared" ca="1" si="6"/>
        <v>9.78882195480573</v>
      </c>
      <c r="IU16">
        <f t="shared" ca="1" si="6"/>
        <v>9.7892433457203314</v>
      </c>
      <c r="IV16">
        <f t="shared" ca="1" si="6"/>
        <v>9.7904050522432335</v>
      </c>
      <c r="IW16">
        <f t="shared" ca="1" si="6"/>
        <v>9.7874974143331368</v>
      </c>
      <c r="IX16">
        <f t="shared" ca="1" si="6"/>
        <v>9.7862911810922668</v>
      </c>
      <c r="IY16">
        <f t="shared" ca="1" si="7"/>
        <v>9.7909231816498021</v>
      </c>
      <c r="IZ16">
        <f t="shared" ca="1" si="7"/>
        <v>9.7876741154975875</v>
      </c>
      <c r="JA16">
        <f t="shared" ca="1" si="7"/>
        <v>9.7885104959091276</v>
      </c>
      <c r="JB16">
        <f t="shared" ca="1" si="7"/>
        <v>9.7904071704891873</v>
      </c>
      <c r="JC16">
        <f t="shared" ca="1" si="7"/>
        <v>9.7874826374927508</v>
      </c>
      <c r="JD16">
        <f t="shared" ca="1" si="7"/>
        <v>9.7840161908596404</v>
      </c>
      <c r="JE16">
        <f t="shared" ca="1" si="7"/>
        <v>9.7848387471937812</v>
      </c>
      <c r="JF16">
        <f t="shared" ca="1" si="7"/>
        <v>9.7907714812761846</v>
      </c>
      <c r="JG16">
        <f t="shared" ca="1" si="7"/>
        <v>9.7861118586804867</v>
      </c>
      <c r="JH16">
        <f t="shared" ca="1" si="7"/>
        <v>9.7880565944380233</v>
      </c>
      <c r="JI16">
        <f t="shared" ca="1" si="7"/>
        <v>9.7906340059329242</v>
      </c>
      <c r="JJ16">
        <f t="shared" ca="1" si="7"/>
        <v>9.7879336874848395</v>
      </c>
      <c r="JK16">
        <f t="shared" ca="1" si="7"/>
        <v>9.7871120384494521</v>
      </c>
      <c r="JL16">
        <f t="shared" ca="1" si="7"/>
        <v>9.7922805923414007</v>
      </c>
      <c r="JM16">
        <f t="shared" ca="1" si="7"/>
        <v>9.7932805713956288</v>
      </c>
      <c r="JN16">
        <f t="shared" ca="1" si="7"/>
        <v>9.7917575224245859</v>
      </c>
      <c r="JO16">
        <f t="shared" ca="1" si="7"/>
        <v>9.7874134531499166</v>
      </c>
      <c r="JP16">
        <f t="shared" ca="1" si="7"/>
        <v>9.787145021504994</v>
      </c>
      <c r="JQ16">
        <f t="shared" ca="1" si="7"/>
        <v>9.7888015304878149</v>
      </c>
      <c r="JR16">
        <f t="shared" ca="1" si="7"/>
        <v>9.79036301513427</v>
      </c>
      <c r="JS16">
        <f t="shared" ca="1" si="7"/>
        <v>9.7885176693675735</v>
      </c>
      <c r="JT16">
        <f t="shared" ca="1" si="7"/>
        <v>9.7875863155094915</v>
      </c>
      <c r="JU16">
        <f t="shared" ca="1" si="7"/>
        <v>9.7850567044856067</v>
      </c>
      <c r="JV16">
        <f t="shared" ca="1" si="7"/>
        <v>9.7877886050830032</v>
      </c>
      <c r="JW16">
        <f t="shared" ca="1" si="7"/>
        <v>9.7914461926806524</v>
      </c>
      <c r="JX16">
        <f t="shared" ca="1" si="7"/>
        <v>9.7862524199735326</v>
      </c>
      <c r="JY16">
        <f t="shared" ca="1" si="7"/>
        <v>9.7870753567855679</v>
      </c>
      <c r="JZ16">
        <f t="shared" ca="1" si="7"/>
        <v>9.7885069247345342</v>
      </c>
      <c r="KA16">
        <f t="shared" ca="1" si="7"/>
        <v>9.7889734672475459</v>
      </c>
      <c r="KB16">
        <f t="shared" ca="1" si="7"/>
        <v>9.7844914100166207</v>
      </c>
      <c r="KC16">
        <f t="shared" ca="1" si="7"/>
        <v>9.7839952135000914</v>
      </c>
      <c r="KD16">
        <f t="shared" ca="1" si="7"/>
        <v>9.787590290503438</v>
      </c>
      <c r="KE16">
        <f t="shared" ca="1" si="7"/>
        <v>9.7852642521747413</v>
      </c>
      <c r="KF16">
        <f t="shared" ca="1" si="7"/>
        <v>9.7911325159922864</v>
      </c>
      <c r="KG16">
        <f t="shared" ca="1" si="7"/>
        <v>9.7889781898000017</v>
      </c>
      <c r="KH16">
        <f t="shared" ca="1" si="7"/>
        <v>9.7907888989415923</v>
      </c>
      <c r="KI16">
        <f t="shared" ca="1" si="7"/>
        <v>9.7867312739156578</v>
      </c>
      <c r="KJ16">
        <f t="shared" ca="1" si="7"/>
        <v>9.7894574146956259</v>
      </c>
      <c r="KK16">
        <f t="shared" ca="1" si="7"/>
        <v>9.7861992751471778</v>
      </c>
      <c r="KL16">
        <f t="shared" ca="1" si="7"/>
        <v>9.7888936643606783</v>
      </c>
      <c r="KM16">
        <f t="shared" ca="1" si="7"/>
        <v>9.7902847878272148</v>
      </c>
      <c r="KN16">
        <f t="shared" ca="1" si="7"/>
        <v>9.7807630280678683</v>
      </c>
      <c r="KO16">
        <f t="shared" ca="1" si="7"/>
        <v>9.7911974429344681</v>
      </c>
      <c r="KP16">
        <f t="shared" ca="1" si="7"/>
        <v>9.7885324861817349</v>
      </c>
      <c r="KQ16">
        <f t="shared" ca="1" si="7"/>
        <v>9.7905239729395994</v>
      </c>
      <c r="KR16">
        <f t="shared" ca="1" si="7"/>
        <v>9.7877478176441404</v>
      </c>
      <c r="KS16">
        <f t="shared" ca="1" si="7"/>
        <v>9.7863006741267355</v>
      </c>
      <c r="KT16">
        <f t="shared" ca="1" si="7"/>
        <v>9.7875271195747242</v>
      </c>
      <c r="KU16">
        <f t="shared" ca="1" si="7"/>
        <v>9.7886704738821138</v>
      </c>
      <c r="KV16">
        <f t="shared" ca="1" si="7"/>
        <v>9.7865622513071724</v>
      </c>
      <c r="KW16">
        <f t="shared" ca="1" si="7"/>
        <v>9.7891980170589825</v>
      </c>
      <c r="KX16">
        <f t="shared" ca="1" si="7"/>
        <v>9.789031295364726</v>
      </c>
      <c r="KY16">
        <f t="shared" ca="1" si="7"/>
        <v>9.7869577024338952</v>
      </c>
      <c r="KZ16">
        <f t="shared" ca="1" si="7"/>
        <v>9.7897931074120166</v>
      </c>
      <c r="LA16">
        <f t="shared" ca="1" si="7"/>
        <v>9.7881970112946579</v>
      </c>
      <c r="LB16">
        <f t="shared" ca="1" si="7"/>
        <v>9.7863909437201713</v>
      </c>
      <c r="LC16">
        <f t="shared" ca="1" si="7"/>
        <v>9.7897085969480511</v>
      </c>
      <c r="LD16">
        <f t="shared" ca="1" si="7"/>
        <v>9.7893276455457165</v>
      </c>
      <c r="LE16">
        <f t="shared" ca="1" si="7"/>
        <v>9.7924296540146667</v>
      </c>
      <c r="LF16">
        <f t="shared" ca="1" si="7"/>
        <v>9.7892725059383814</v>
      </c>
      <c r="LG16">
        <f t="shared" ca="1" si="7"/>
        <v>9.786048984560539</v>
      </c>
      <c r="LH16">
        <f t="shared" ca="1" si="7"/>
        <v>9.7881728199879436</v>
      </c>
      <c r="LI16">
        <f t="shared" ca="1" si="7"/>
        <v>9.7832530244450808</v>
      </c>
      <c r="LJ16">
        <f t="shared" ca="1" si="7"/>
        <v>9.7874476910130586</v>
      </c>
      <c r="LK16">
        <f t="shared" ca="1" si="8"/>
        <v>9.7941160953813409</v>
      </c>
      <c r="LL16">
        <f t="shared" ca="1" si="8"/>
        <v>9.783073456045976</v>
      </c>
      <c r="LM16">
        <f t="shared" ca="1" si="8"/>
        <v>9.7929679399445035</v>
      </c>
      <c r="LN16">
        <f t="shared" ca="1" si="8"/>
        <v>9.7875815392802537</v>
      </c>
      <c r="LO16">
        <f t="shared" ca="1" si="8"/>
        <v>9.7883204586473713</v>
      </c>
      <c r="LP16">
        <f t="shared" ca="1" si="8"/>
        <v>9.7918000306295525</v>
      </c>
      <c r="LQ16">
        <f t="shared" ca="1" si="8"/>
        <v>9.7873625927987895</v>
      </c>
      <c r="LR16">
        <f t="shared" ca="1" si="8"/>
        <v>9.7857440729054428</v>
      </c>
      <c r="LS16">
        <f t="shared" ca="1" si="8"/>
        <v>9.7896968557974855</v>
      </c>
      <c r="LT16">
        <f t="shared" ca="1" si="8"/>
        <v>9.7889228318187698</v>
      </c>
      <c r="LU16">
        <f t="shared" ca="1" si="8"/>
        <v>9.7910775734112985</v>
      </c>
      <c r="LV16">
        <f t="shared" ca="1" si="8"/>
        <v>9.78988456238711</v>
      </c>
      <c r="LW16">
        <f t="shared" ca="1" si="8"/>
        <v>9.7887680873146792</v>
      </c>
      <c r="LX16">
        <f t="shared" ca="1" si="8"/>
        <v>9.7887717142893464</v>
      </c>
      <c r="LY16">
        <f t="shared" ca="1" si="8"/>
        <v>9.7875558860273255</v>
      </c>
      <c r="LZ16">
        <f t="shared" ca="1" si="8"/>
        <v>9.7838347638018508</v>
      </c>
      <c r="MA16">
        <f t="shared" ca="1" si="8"/>
        <v>9.7881322940411888</v>
      </c>
      <c r="MB16">
        <f t="shared" ca="1" si="8"/>
        <v>9.7852923874389433</v>
      </c>
      <c r="MC16">
        <f t="shared" ca="1" si="8"/>
        <v>9.7940012418028388</v>
      </c>
      <c r="MD16">
        <f t="shared" ca="1" si="8"/>
        <v>9.7831750183285138</v>
      </c>
      <c r="ME16">
        <f t="shared" ca="1" si="8"/>
        <v>9.7850638556395282</v>
      </c>
      <c r="MF16">
        <f t="shared" ca="1" si="8"/>
        <v>9.7862253777659625</v>
      </c>
      <c r="MG16">
        <f t="shared" ca="1" si="8"/>
        <v>9.786952384808405</v>
      </c>
      <c r="MH16">
        <f t="shared" ca="1" si="8"/>
        <v>9.7872166377969165</v>
      </c>
      <c r="MI16">
        <f t="shared" ca="1" si="8"/>
        <v>9.7880439850959498</v>
      </c>
      <c r="MJ16">
        <f t="shared" ca="1" si="8"/>
        <v>9.7871668079012668</v>
      </c>
      <c r="MK16">
        <f t="shared" ca="1" si="8"/>
        <v>9.7882303568895939</v>
      </c>
      <c r="ML16">
        <f t="shared" ca="1" si="8"/>
        <v>9.7933460675378861</v>
      </c>
      <c r="MM16">
        <f t="shared" ca="1" si="8"/>
        <v>9.7871341154585458</v>
      </c>
      <c r="MN16">
        <f t="shared" ca="1" si="8"/>
        <v>9.7858251994546261</v>
      </c>
      <c r="MO16">
        <f t="shared" ca="1" si="8"/>
        <v>9.7887453880054167</v>
      </c>
      <c r="MP16">
        <f t="shared" ca="1" si="8"/>
        <v>9.7883321768771712</v>
      </c>
      <c r="MQ16">
        <f t="shared" ca="1" si="8"/>
        <v>9.7874095470335192</v>
      </c>
      <c r="MR16">
        <f t="shared" ca="1" si="8"/>
        <v>9.7913336154030031</v>
      </c>
      <c r="MS16">
        <f t="shared" ca="1" si="8"/>
        <v>9.7856764143870123</v>
      </c>
      <c r="MT16">
        <f t="shared" ca="1" si="8"/>
        <v>9.7840080963152456</v>
      </c>
      <c r="MU16">
        <f t="shared" ca="1" si="8"/>
        <v>9.7914981144848348</v>
      </c>
      <c r="MV16">
        <f t="shared" ca="1" si="8"/>
        <v>9.7932638874007285</v>
      </c>
      <c r="MW16">
        <f t="shared" ca="1" si="8"/>
        <v>9.7853693372122752</v>
      </c>
      <c r="MX16">
        <f t="shared" ca="1" si="8"/>
        <v>9.7888802852919259</v>
      </c>
      <c r="MY16">
        <f t="shared" ca="1" si="8"/>
        <v>9.7890871032645421</v>
      </c>
      <c r="MZ16">
        <f t="shared" ca="1" si="8"/>
        <v>9.7880169297460338</v>
      </c>
      <c r="NA16">
        <f t="shared" ca="1" si="8"/>
        <v>9.7930015382057203</v>
      </c>
      <c r="NB16">
        <f t="shared" ca="1" si="8"/>
        <v>9.7865152514131886</v>
      </c>
      <c r="NC16">
        <f t="shared" ca="1" si="8"/>
        <v>9.7899987003658868</v>
      </c>
      <c r="ND16">
        <f t="shared" ca="1" si="8"/>
        <v>9.7833672816322146</v>
      </c>
      <c r="NE16">
        <f t="shared" ca="1" si="8"/>
        <v>9.7860907836806383</v>
      </c>
      <c r="NF16">
        <f t="shared" ca="1" si="8"/>
        <v>9.7866769567322791</v>
      </c>
      <c r="NG16">
        <f t="shared" ca="1" si="8"/>
        <v>9.7896994013110188</v>
      </c>
      <c r="NH16">
        <f t="shared" ca="1" si="8"/>
        <v>9.7869939773357881</v>
      </c>
      <c r="NI16">
        <f t="shared" ca="1" si="8"/>
        <v>9.7849414441017011</v>
      </c>
      <c r="NJ16">
        <f t="shared" ca="1" si="8"/>
        <v>9.7880853321377703</v>
      </c>
      <c r="NK16">
        <f t="shared" ca="1" si="8"/>
        <v>9.7906330199480642</v>
      </c>
      <c r="NL16">
        <f t="shared" ca="1" si="8"/>
        <v>9.7864142294251923</v>
      </c>
      <c r="NM16">
        <f t="shared" ca="1" si="8"/>
        <v>9.7917059050143411</v>
      </c>
      <c r="NN16">
        <f t="shared" ca="1" si="8"/>
        <v>9.7884672437813069</v>
      </c>
      <c r="NO16">
        <f t="shared" ca="1" si="8"/>
        <v>9.7900017345461041</v>
      </c>
      <c r="NP16">
        <f t="shared" ca="1" si="8"/>
        <v>9.7903943290264088</v>
      </c>
      <c r="NQ16">
        <f t="shared" ca="1" si="8"/>
        <v>9.7905454637637241</v>
      </c>
      <c r="NR16">
        <f t="shared" ca="1" si="8"/>
        <v>9.7889749578472003</v>
      </c>
      <c r="NS16">
        <f t="shared" ca="1" si="8"/>
        <v>9.7866624298081177</v>
      </c>
      <c r="NT16">
        <f t="shared" ca="1" si="8"/>
        <v>9.7873651368400569</v>
      </c>
      <c r="NU16">
        <f t="shared" ca="1" si="8"/>
        <v>9.7905452070508581</v>
      </c>
      <c r="NV16">
        <f t="shared" ca="1" si="8"/>
        <v>9.7922946043369024</v>
      </c>
      <c r="NW16">
        <f t="shared" ca="1" si="9"/>
        <v>9.7884508242245154</v>
      </c>
      <c r="NX16">
        <f t="shared" ca="1" si="9"/>
        <v>9.7831163872658333</v>
      </c>
      <c r="NY16">
        <f t="shared" ca="1" si="9"/>
        <v>9.7923839180788406</v>
      </c>
      <c r="NZ16">
        <f t="shared" ca="1" si="9"/>
        <v>9.7897480946950051</v>
      </c>
      <c r="OA16">
        <f t="shared" ca="1" si="9"/>
        <v>9.7845873795457159</v>
      </c>
      <c r="OB16">
        <f t="shared" ca="1" si="9"/>
        <v>9.7899926234106385</v>
      </c>
      <c r="OC16">
        <f t="shared" ca="1" si="9"/>
        <v>9.7866636449317781</v>
      </c>
      <c r="OD16">
        <f t="shared" ca="1" si="9"/>
        <v>9.7888302749297704</v>
      </c>
      <c r="OE16">
        <f t="shared" ca="1" si="9"/>
        <v>9.7911724729649237</v>
      </c>
      <c r="OF16">
        <f t="shared" ca="1" si="9"/>
        <v>9.7860694399034216</v>
      </c>
      <c r="OG16">
        <f t="shared" ca="1" si="9"/>
        <v>9.7878809165112486</v>
      </c>
      <c r="OH16">
        <f t="shared" ca="1" si="9"/>
        <v>9.7860157138005004</v>
      </c>
      <c r="OI16">
        <f t="shared" ca="1" si="9"/>
        <v>9.7874461082498403</v>
      </c>
      <c r="OJ16">
        <f t="shared" ca="1" si="9"/>
        <v>9.7897782653527905</v>
      </c>
      <c r="OK16">
        <f t="shared" ca="1" si="9"/>
        <v>9.7847251493953831</v>
      </c>
      <c r="OL16">
        <f t="shared" ca="1" si="9"/>
        <v>9.7845748575040545</v>
      </c>
      <c r="OM16">
        <f t="shared" ca="1" si="9"/>
        <v>9.7867021198698634</v>
      </c>
      <c r="ON16">
        <f t="shared" ca="1" si="9"/>
        <v>9.7906263463244034</v>
      </c>
      <c r="OO16">
        <f t="shared" ca="1" si="9"/>
        <v>9.7924170314606158</v>
      </c>
      <c r="OP16">
        <f t="shared" ca="1" si="9"/>
        <v>9.7905950023914485</v>
      </c>
      <c r="OQ16">
        <f t="shared" ca="1" si="9"/>
        <v>9.7886710068793423</v>
      </c>
      <c r="OR16">
        <f t="shared" ca="1" si="9"/>
        <v>9.7874427743024714</v>
      </c>
      <c r="OS16">
        <f t="shared" ca="1" si="9"/>
        <v>9.7888872153935633</v>
      </c>
      <c r="OT16">
        <f t="shared" ca="1" si="9"/>
        <v>9.7875859549666053</v>
      </c>
      <c r="OU16">
        <f t="shared" ca="1" si="9"/>
        <v>9.7877803657053963</v>
      </c>
      <c r="OV16">
        <f t="shared" ca="1" si="9"/>
        <v>9.7940538697970307</v>
      </c>
      <c r="OW16">
        <f t="shared" ca="1" si="9"/>
        <v>9.7929998381352501</v>
      </c>
      <c r="OX16">
        <f t="shared" ca="1" si="9"/>
        <v>9.7850566017316947</v>
      </c>
      <c r="OY16">
        <f t="shared" ca="1" si="9"/>
        <v>9.7861431234784</v>
      </c>
      <c r="OZ16">
        <f t="shared" ca="1" si="9"/>
        <v>9.7889295038629669</v>
      </c>
      <c r="PA16">
        <f t="shared" ca="1" si="9"/>
        <v>9.7896814717687271</v>
      </c>
      <c r="PB16">
        <f t="shared" ca="1" si="9"/>
        <v>9.7852108119549523</v>
      </c>
      <c r="PC16">
        <f t="shared" ca="1" si="9"/>
        <v>9.7900919978419907</v>
      </c>
      <c r="PD16">
        <f t="shared" ca="1" si="9"/>
        <v>9.7904869356068964</v>
      </c>
      <c r="PE16">
        <f t="shared" ca="1" si="9"/>
        <v>9.7865974753768956</v>
      </c>
      <c r="PF16">
        <f t="shared" ca="1" si="9"/>
        <v>9.7795417532218476</v>
      </c>
      <c r="PG16">
        <f t="shared" ca="1" si="9"/>
        <v>9.786036842250839</v>
      </c>
      <c r="PH16">
        <f t="shared" ca="1" si="9"/>
        <v>9.7860594881331657</v>
      </c>
      <c r="PI16">
        <f t="shared" ca="1" si="9"/>
        <v>9.7895261223385042</v>
      </c>
      <c r="PJ16">
        <f t="shared" ca="1" si="9"/>
        <v>9.7922779428767015</v>
      </c>
      <c r="PK16">
        <f t="shared" ca="1" si="9"/>
        <v>9.7908058171950607</v>
      </c>
      <c r="PL16">
        <f t="shared" ca="1" si="9"/>
        <v>9.7831092084278204</v>
      </c>
      <c r="PM16">
        <f t="shared" ca="1" si="9"/>
        <v>9.7944037935975548</v>
      </c>
      <c r="PN16">
        <f t="shared" ca="1" si="9"/>
        <v>9.7909825720256531</v>
      </c>
      <c r="PO16">
        <f t="shared" ca="1" si="9"/>
        <v>9.788081237897444</v>
      </c>
      <c r="PP16">
        <f t="shared" ca="1" si="9"/>
        <v>9.7836359441823717</v>
      </c>
      <c r="PQ16">
        <f t="shared" ca="1" si="9"/>
        <v>9.7834496480050372</v>
      </c>
      <c r="PR16">
        <f t="shared" ca="1" si="9"/>
        <v>9.785262524878382</v>
      </c>
      <c r="PS16">
        <f t="shared" ca="1" si="9"/>
        <v>9.7869280901551203</v>
      </c>
      <c r="PT16">
        <f t="shared" ca="1" si="9"/>
        <v>9.7868887826732767</v>
      </c>
      <c r="PU16">
        <f t="shared" ca="1" si="9"/>
        <v>9.7884331928265151</v>
      </c>
      <c r="PV16">
        <f t="shared" ca="1" si="9"/>
        <v>9.7852782241357819</v>
      </c>
      <c r="PW16">
        <f t="shared" ca="1" si="9"/>
        <v>9.7868803752266409</v>
      </c>
      <c r="PX16">
        <f t="shared" ca="1" si="9"/>
        <v>9.7846931153897074</v>
      </c>
      <c r="PY16">
        <f t="shared" ca="1" si="9"/>
        <v>9.7903108771825522</v>
      </c>
      <c r="PZ16">
        <f t="shared" ca="1" si="9"/>
        <v>9.7926818448790538</v>
      </c>
      <c r="QA16">
        <f t="shared" ca="1" si="9"/>
        <v>9.7875511243161899</v>
      </c>
      <c r="QB16">
        <f t="shared" ca="1" si="9"/>
        <v>9.7878780876931426</v>
      </c>
      <c r="QC16">
        <f t="shared" ca="1" si="9"/>
        <v>9.7895729404305172</v>
      </c>
      <c r="QD16">
        <f t="shared" ca="1" si="9"/>
        <v>9.7876146860651794</v>
      </c>
      <c r="QE16">
        <f t="shared" ca="1" si="9"/>
        <v>9.7845110974683021</v>
      </c>
      <c r="QF16">
        <f t="shared" ca="1" si="9"/>
        <v>9.7893020499202006</v>
      </c>
      <c r="QG16">
        <f t="shared" ca="1" si="9"/>
        <v>9.7862838609148017</v>
      </c>
      <c r="QH16">
        <f t="shared" ca="1" si="9"/>
        <v>9.7906199196674404</v>
      </c>
      <c r="QI16">
        <f t="shared" ca="1" si="10"/>
        <v>9.7874542465983296</v>
      </c>
      <c r="QJ16">
        <f t="shared" ca="1" si="10"/>
        <v>9.784300261735611</v>
      </c>
      <c r="QK16">
        <f t="shared" ca="1" si="10"/>
        <v>9.7870876215482294</v>
      </c>
      <c r="QL16">
        <f t="shared" ca="1" si="10"/>
        <v>9.7885971384286528</v>
      </c>
      <c r="QM16">
        <f t="shared" ca="1" si="10"/>
        <v>9.7902223798375179</v>
      </c>
      <c r="QN16">
        <f t="shared" ca="1" si="10"/>
        <v>9.7865982817236397</v>
      </c>
      <c r="QO16">
        <f t="shared" ca="1" si="10"/>
        <v>9.7832643581829917</v>
      </c>
      <c r="QP16">
        <f t="shared" ca="1" si="10"/>
        <v>9.790943406986873</v>
      </c>
      <c r="QQ16">
        <f t="shared" ca="1" si="10"/>
        <v>9.7920269046548416</v>
      </c>
      <c r="QR16">
        <f t="shared" ca="1" si="10"/>
        <v>9.7917539605204809</v>
      </c>
      <c r="QS16">
        <f t="shared" ca="1" si="10"/>
        <v>9.7862841220360828</v>
      </c>
      <c r="QT16">
        <f t="shared" ca="1" si="10"/>
        <v>9.7859692688055055</v>
      </c>
      <c r="QU16">
        <f t="shared" ca="1" si="10"/>
        <v>9.7894641380062897</v>
      </c>
      <c r="QV16">
        <f t="shared" ca="1" si="10"/>
        <v>9.7858944859425634</v>
      </c>
      <c r="QW16">
        <f t="shared" ca="1" si="10"/>
        <v>9.7901631294836893</v>
      </c>
      <c r="QX16">
        <f t="shared" ca="1" si="10"/>
        <v>9.7850356288488332</v>
      </c>
      <c r="QY16">
        <f t="shared" ca="1" si="10"/>
        <v>9.7837480417088702</v>
      </c>
      <c r="QZ16">
        <f t="shared" ca="1" si="10"/>
        <v>9.7886676530762173</v>
      </c>
      <c r="RA16">
        <f t="shared" ca="1" si="10"/>
        <v>9.7847527046458591</v>
      </c>
      <c r="RB16">
        <f t="shared" ca="1" si="10"/>
        <v>9.7859705392759455</v>
      </c>
      <c r="RC16">
        <f t="shared" ca="1" si="10"/>
        <v>9.7897891953251719</v>
      </c>
      <c r="RD16">
        <f t="shared" ca="1" si="10"/>
        <v>9.7901238038615208</v>
      </c>
      <c r="RE16">
        <f t="shared" ca="1" si="10"/>
        <v>9.7887134441444292</v>
      </c>
      <c r="RF16">
        <f t="shared" ca="1" si="10"/>
        <v>9.7897885218598315</v>
      </c>
      <c r="RG16">
        <f t="shared" ca="1" si="10"/>
        <v>9.7873050532165173</v>
      </c>
      <c r="RH16">
        <f t="shared" ca="1" si="10"/>
        <v>9.7857775184257445</v>
      </c>
      <c r="RI16">
        <f t="shared" ca="1" si="10"/>
        <v>9.7839046061495338</v>
      </c>
      <c r="RJ16">
        <f t="shared" ca="1" si="10"/>
        <v>9.7891185781540635</v>
      </c>
      <c r="RK16">
        <f t="shared" ca="1" si="10"/>
        <v>9.7889498372663386</v>
      </c>
      <c r="RL16">
        <f t="shared" ca="1" si="10"/>
        <v>9.7894654461822928</v>
      </c>
      <c r="RM16">
        <f t="shared" ca="1" si="10"/>
        <v>9.7842612478026005</v>
      </c>
      <c r="RN16">
        <f t="shared" ca="1" si="10"/>
        <v>9.7869380334240876</v>
      </c>
      <c r="RO16">
        <f t="shared" ca="1" si="10"/>
        <v>9.788365575026118</v>
      </c>
      <c r="RP16">
        <f t="shared" ca="1" si="10"/>
        <v>9.789102741023509</v>
      </c>
      <c r="RQ16">
        <f t="shared" ca="1" si="10"/>
        <v>9.7921706061157874</v>
      </c>
      <c r="RR16">
        <f t="shared" ca="1" si="10"/>
        <v>9.7875274287401695</v>
      </c>
      <c r="RS16">
        <f t="shared" ca="1" si="10"/>
        <v>9.7877384799995042</v>
      </c>
      <c r="RT16">
        <f t="shared" ca="1" si="10"/>
        <v>9.7842050800862506</v>
      </c>
      <c r="RU16">
        <f t="shared" ca="1" si="10"/>
        <v>9.7842629344998944</v>
      </c>
      <c r="RV16">
        <f t="shared" ca="1" si="10"/>
        <v>9.7905540961468862</v>
      </c>
      <c r="RW16">
        <f t="shared" ca="1" si="10"/>
        <v>9.7871707332898605</v>
      </c>
      <c r="RX16">
        <f t="shared" ca="1" si="10"/>
        <v>9.7904201692906963</v>
      </c>
      <c r="RY16">
        <f t="shared" ca="1" si="10"/>
        <v>9.7865325367327376</v>
      </c>
      <c r="RZ16">
        <f t="shared" ca="1" si="10"/>
        <v>9.7899501614635387</v>
      </c>
      <c r="SA16">
        <f t="shared" ca="1" si="10"/>
        <v>9.7895063217478224</v>
      </c>
      <c r="SB16">
        <f t="shared" ca="1" si="10"/>
        <v>9.7864000179777815</v>
      </c>
      <c r="SC16">
        <f t="shared" ca="1" si="10"/>
        <v>9.7840571863162307</v>
      </c>
      <c r="SD16">
        <f t="shared" ca="1" si="10"/>
        <v>9.7910181259103091</v>
      </c>
      <c r="SE16">
        <f t="shared" ca="1" si="10"/>
        <v>9.7873893337094362</v>
      </c>
      <c r="SF16">
        <f t="shared" ca="1" si="10"/>
        <v>9.7922927162126356</v>
      </c>
      <c r="SG16">
        <f t="shared" ca="1" si="10"/>
        <v>9.7894148663108691</v>
      </c>
    </row>
    <row r="17" spans="1:501" x14ac:dyDescent="0.3">
      <c r="A17" s="1" t="s">
        <v>90</v>
      </c>
      <c r="B17">
        <f t="shared" ca="1" si="11"/>
        <v>9.8807621672324064</v>
      </c>
      <c r="C17">
        <f t="shared" ref="C17:BN20" ca="1" si="12">$B4*EXP(($I4-$J5-($H4^2)/2)*(1/52)+$H4*SQRT(1/52)*_xlfn.NORM.INV(RAND(),0,1))</f>
        <v>9.8798170810108719</v>
      </c>
      <c r="D17">
        <f t="shared" ca="1" si="12"/>
        <v>9.8810464852744992</v>
      </c>
      <c r="E17">
        <f t="shared" ca="1" si="12"/>
        <v>9.8767150163347139</v>
      </c>
      <c r="F17">
        <f t="shared" ca="1" si="12"/>
        <v>9.8729801857240105</v>
      </c>
      <c r="G17">
        <f t="shared" ca="1" si="12"/>
        <v>9.8746041421876427</v>
      </c>
      <c r="H17">
        <f t="shared" ca="1" si="12"/>
        <v>9.874549469945368</v>
      </c>
      <c r="I17">
        <f t="shared" ca="1" si="12"/>
        <v>9.8716450190030791</v>
      </c>
      <c r="J17">
        <f t="shared" ca="1" si="12"/>
        <v>9.8788319296062639</v>
      </c>
      <c r="K17">
        <f t="shared" ca="1" si="12"/>
        <v>9.879887664948388</v>
      </c>
      <c r="L17">
        <f t="shared" ca="1" si="12"/>
        <v>9.8734542528717171</v>
      </c>
      <c r="M17">
        <f t="shared" ca="1" si="12"/>
        <v>9.8788202880859597</v>
      </c>
      <c r="N17">
        <f t="shared" ca="1" si="12"/>
        <v>9.8772108629790321</v>
      </c>
      <c r="O17">
        <f t="shared" ca="1" si="12"/>
        <v>9.873206048017634</v>
      </c>
      <c r="P17">
        <f t="shared" ca="1" si="12"/>
        <v>9.8820379649468304</v>
      </c>
      <c r="Q17">
        <f t="shared" ca="1" si="12"/>
        <v>9.884479193633215</v>
      </c>
      <c r="R17">
        <f t="shared" ca="1" si="12"/>
        <v>9.8822937262036223</v>
      </c>
      <c r="S17">
        <f t="shared" ca="1" si="12"/>
        <v>9.8768727690100047</v>
      </c>
      <c r="T17">
        <f t="shared" ca="1" si="12"/>
        <v>9.8788274875240347</v>
      </c>
      <c r="U17">
        <f t="shared" ca="1" si="12"/>
        <v>9.8779636714403036</v>
      </c>
      <c r="V17">
        <f t="shared" ca="1" si="12"/>
        <v>9.8778557473373283</v>
      </c>
      <c r="W17">
        <f t="shared" ca="1" si="12"/>
        <v>9.8776546528199063</v>
      </c>
      <c r="X17">
        <f t="shared" ca="1" si="12"/>
        <v>9.8795049540823978</v>
      </c>
      <c r="Y17">
        <f t="shared" ca="1" si="12"/>
        <v>9.8754119139725649</v>
      </c>
      <c r="Z17">
        <f t="shared" ca="1" si="12"/>
        <v>9.8820397244211833</v>
      </c>
      <c r="AA17">
        <f t="shared" ca="1" si="12"/>
        <v>9.8795197025402892</v>
      </c>
      <c r="AB17">
        <f t="shared" ca="1" si="12"/>
        <v>9.8793534947983019</v>
      </c>
      <c r="AC17">
        <f t="shared" ca="1" si="12"/>
        <v>9.8805607152932478</v>
      </c>
      <c r="AD17">
        <f t="shared" ca="1" si="12"/>
        <v>9.8748292987707309</v>
      </c>
      <c r="AE17">
        <f t="shared" ca="1" si="12"/>
        <v>9.8732092907877433</v>
      </c>
      <c r="AF17">
        <f t="shared" ca="1" si="12"/>
        <v>9.8771756190527906</v>
      </c>
      <c r="AG17">
        <f t="shared" ca="1" si="12"/>
        <v>9.8775979583053886</v>
      </c>
      <c r="AH17">
        <f t="shared" ca="1" si="12"/>
        <v>9.8791876265938559</v>
      </c>
      <c r="AI17">
        <f t="shared" ca="1" si="12"/>
        <v>9.87883832944072</v>
      </c>
      <c r="AJ17">
        <f t="shared" ca="1" si="12"/>
        <v>9.8787943051237939</v>
      </c>
      <c r="AK17">
        <f t="shared" ca="1" si="12"/>
        <v>9.8764960084579343</v>
      </c>
      <c r="AL17">
        <f t="shared" ca="1" si="12"/>
        <v>9.883343052494407</v>
      </c>
      <c r="AM17">
        <f t="shared" ca="1" si="12"/>
        <v>9.8749261239273309</v>
      </c>
      <c r="AN17">
        <f t="shared" ca="1" si="12"/>
        <v>9.8785494384376236</v>
      </c>
      <c r="AO17">
        <f t="shared" ca="1" si="12"/>
        <v>9.8772869712156552</v>
      </c>
      <c r="AP17">
        <f t="shared" ca="1" si="12"/>
        <v>9.8787140861587144</v>
      </c>
      <c r="AQ17">
        <f t="shared" ca="1" si="12"/>
        <v>9.8773313268040415</v>
      </c>
      <c r="AR17">
        <f t="shared" ca="1" si="12"/>
        <v>9.8776124260880707</v>
      </c>
      <c r="AS17">
        <f t="shared" ca="1" si="12"/>
        <v>9.8749439316061274</v>
      </c>
      <c r="AT17">
        <f t="shared" ca="1" si="12"/>
        <v>9.8795885151797265</v>
      </c>
      <c r="AU17">
        <f t="shared" ca="1" si="12"/>
        <v>9.8808543685028454</v>
      </c>
      <c r="AV17">
        <f t="shared" ca="1" si="12"/>
        <v>9.8750621487627015</v>
      </c>
      <c r="AW17">
        <f t="shared" ca="1" si="12"/>
        <v>9.87597284586999</v>
      </c>
      <c r="AX17">
        <f t="shared" ca="1" si="12"/>
        <v>9.8818225626260165</v>
      </c>
      <c r="AY17">
        <f t="shared" ca="1" si="12"/>
        <v>9.879216671269738</v>
      </c>
      <c r="AZ17">
        <f t="shared" ca="1" si="12"/>
        <v>9.8740710833321135</v>
      </c>
      <c r="BA17">
        <f t="shared" ca="1" si="12"/>
        <v>9.8768786406216389</v>
      </c>
      <c r="BB17">
        <f t="shared" ca="1" si="12"/>
        <v>9.8800851088844439</v>
      </c>
      <c r="BC17">
        <f t="shared" ca="1" si="12"/>
        <v>9.8783739015062082</v>
      </c>
      <c r="BD17">
        <f t="shared" ca="1" si="12"/>
        <v>9.8817545676380636</v>
      </c>
      <c r="BE17">
        <f t="shared" ca="1" si="12"/>
        <v>9.8810833814713899</v>
      </c>
      <c r="BF17">
        <f t="shared" ca="1" si="12"/>
        <v>9.8808314072012706</v>
      </c>
      <c r="BG17">
        <f t="shared" ca="1" si="12"/>
        <v>9.8746076690734821</v>
      </c>
      <c r="BH17">
        <f t="shared" ca="1" si="12"/>
        <v>9.8797702019925637</v>
      </c>
      <c r="BI17">
        <f t="shared" ca="1" si="12"/>
        <v>9.877075590798535</v>
      </c>
      <c r="BJ17">
        <f t="shared" ca="1" si="12"/>
        <v>9.8786115092728792</v>
      </c>
      <c r="BK17">
        <f t="shared" ca="1" si="12"/>
        <v>9.8748583359128137</v>
      </c>
      <c r="BL17">
        <f t="shared" ca="1" si="12"/>
        <v>9.8754723276574019</v>
      </c>
      <c r="BM17">
        <f t="shared" ca="1" si="12"/>
        <v>9.8816880288886857</v>
      </c>
      <c r="BN17">
        <f t="shared" ca="1" si="12"/>
        <v>9.8783107401933599</v>
      </c>
      <c r="BO17">
        <f t="shared" ca="1" si="4"/>
        <v>9.8806917472747617</v>
      </c>
      <c r="BP17">
        <f t="shared" ca="1" si="4"/>
        <v>9.8738914965668485</v>
      </c>
      <c r="BQ17">
        <f t="shared" ca="1" si="4"/>
        <v>9.881629316914232</v>
      </c>
      <c r="BR17">
        <f t="shared" ca="1" si="4"/>
        <v>9.8821019453436296</v>
      </c>
      <c r="BS17">
        <f t="shared" ca="1" si="4"/>
        <v>9.8757185991249496</v>
      </c>
      <c r="BT17">
        <f t="shared" ca="1" si="4"/>
        <v>9.8819492919854479</v>
      </c>
      <c r="BU17">
        <f t="shared" ca="1" si="4"/>
        <v>9.8782813436217722</v>
      </c>
      <c r="BV17">
        <f t="shared" ca="1" si="4"/>
        <v>9.8773668906742529</v>
      </c>
      <c r="BW17">
        <f t="shared" ca="1" si="4"/>
        <v>9.8787828540083478</v>
      </c>
      <c r="BX17">
        <f t="shared" ca="1" si="4"/>
        <v>9.8776018036570594</v>
      </c>
      <c r="BY17">
        <f t="shared" ca="1" si="4"/>
        <v>9.8759118201966594</v>
      </c>
      <c r="BZ17">
        <f t="shared" ca="1" si="4"/>
        <v>9.8778686044932531</v>
      </c>
      <c r="CA17">
        <f t="shared" ca="1" si="4"/>
        <v>9.8761785496881149</v>
      </c>
      <c r="CB17">
        <f t="shared" ca="1" si="4"/>
        <v>9.8786283084587545</v>
      </c>
      <c r="CC17">
        <f t="shared" ca="1" si="4"/>
        <v>9.8777666716002201</v>
      </c>
      <c r="CD17">
        <f t="shared" ca="1" si="4"/>
        <v>9.8735665920311213</v>
      </c>
      <c r="CE17">
        <f t="shared" ca="1" si="4"/>
        <v>9.8762461308000411</v>
      </c>
      <c r="CF17">
        <f t="shared" ca="1" si="4"/>
        <v>9.8763503849236614</v>
      </c>
      <c r="CG17">
        <f t="shared" ca="1" si="4"/>
        <v>9.876593364899767</v>
      </c>
      <c r="CH17">
        <f t="shared" ca="1" si="4"/>
        <v>9.8770975973274151</v>
      </c>
      <c r="CI17">
        <f t="shared" ca="1" si="4"/>
        <v>9.8760391502337175</v>
      </c>
      <c r="CJ17">
        <f t="shared" ca="1" si="4"/>
        <v>9.8791261741712297</v>
      </c>
      <c r="CK17">
        <f t="shared" ca="1" si="4"/>
        <v>9.875055980865346</v>
      </c>
      <c r="CL17">
        <f t="shared" ca="1" si="4"/>
        <v>9.8804066182073864</v>
      </c>
      <c r="CM17">
        <f t="shared" ca="1" si="4"/>
        <v>9.8787264178431879</v>
      </c>
      <c r="CN17">
        <f t="shared" ca="1" si="4"/>
        <v>9.8800369704775637</v>
      </c>
      <c r="CO17">
        <f t="shared" ca="1" si="4"/>
        <v>9.8779411480968751</v>
      </c>
      <c r="CP17">
        <f t="shared" ca="1" si="4"/>
        <v>9.8849119900010738</v>
      </c>
      <c r="CQ17">
        <f t="shared" ca="1" si="4"/>
        <v>9.8761393815361238</v>
      </c>
      <c r="CR17">
        <f t="shared" ca="1" si="4"/>
        <v>9.8745868191132473</v>
      </c>
      <c r="CS17">
        <f t="shared" ca="1" si="4"/>
        <v>9.8770066955952345</v>
      </c>
      <c r="CT17">
        <f t="shared" ca="1" si="4"/>
        <v>9.8759964624555856</v>
      </c>
      <c r="CU17">
        <f t="shared" ca="1" si="4"/>
        <v>9.8821285593820107</v>
      </c>
      <c r="CV17">
        <f t="shared" ca="1" si="4"/>
        <v>9.881732128575182</v>
      </c>
      <c r="CW17">
        <f t="shared" ca="1" si="4"/>
        <v>9.8785504431800657</v>
      </c>
      <c r="CX17">
        <f t="shared" ca="1" si="4"/>
        <v>9.8752901742467003</v>
      </c>
      <c r="CY17">
        <f t="shared" ca="1" si="4"/>
        <v>9.8775694512284602</v>
      </c>
      <c r="CZ17">
        <f t="shared" ca="1" si="4"/>
        <v>9.8756862409200803</v>
      </c>
      <c r="DA17">
        <f t="shared" ca="1" si="4"/>
        <v>9.8818345846969624</v>
      </c>
      <c r="DB17">
        <f t="shared" ca="1" si="4"/>
        <v>9.8735742490682075</v>
      </c>
      <c r="DC17">
        <f t="shared" ca="1" si="4"/>
        <v>9.8779279957807855</v>
      </c>
      <c r="DD17">
        <f t="shared" ca="1" si="4"/>
        <v>9.8787246517209368</v>
      </c>
      <c r="DE17">
        <f t="shared" ca="1" si="4"/>
        <v>9.8762892630673171</v>
      </c>
      <c r="DF17">
        <f t="shared" ca="1" si="4"/>
        <v>9.8724491396491132</v>
      </c>
      <c r="DG17">
        <f t="shared" ca="1" si="4"/>
        <v>9.8759043817663876</v>
      </c>
      <c r="DH17">
        <f t="shared" ca="1" si="4"/>
        <v>9.8793770542442729</v>
      </c>
      <c r="DI17">
        <f t="shared" ca="1" si="4"/>
        <v>9.8836505328278434</v>
      </c>
      <c r="DJ17">
        <f t="shared" ca="1" si="4"/>
        <v>9.8796222516469996</v>
      </c>
      <c r="DK17">
        <f t="shared" ca="1" si="4"/>
        <v>9.8752544663130362</v>
      </c>
      <c r="DL17">
        <f t="shared" ca="1" si="4"/>
        <v>9.8795846755403716</v>
      </c>
      <c r="DM17">
        <f t="shared" ca="1" si="4"/>
        <v>9.8746593212690161</v>
      </c>
      <c r="DN17">
        <f t="shared" ca="1" si="4"/>
        <v>9.8759915744528275</v>
      </c>
      <c r="DO17">
        <f t="shared" ca="1" si="4"/>
        <v>9.8802525478244636</v>
      </c>
      <c r="DP17">
        <f t="shared" ca="1" si="4"/>
        <v>9.8792331258442125</v>
      </c>
      <c r="DQ17">
        <f t="shared" ca="1" si="4"/>
        <v>9.8784350655770492</v>
      </c>
      <c r="DR17">
        <f t="shared" ca="1" si="4"/>
        <v>9.8732882161031394</v>
      </c>
      <c r="DS17">
        <f t="shared" ca="1" si="4"/>
        <v>9.8776530299583154</v>
      </c>
      <c r="DT17">
        <f t="shared" ca="1" si="4"/>
        <v>9.8740924917720019</v>
      </c>
      <c r="DU17">
        <f t="shared" ca="1" si="4"/>
        <v>9.8816277457019925</v>
      </c>
      <c r="DV17">
        <f t="shared" ca="1" si="4"/>
        <v>9.8756920530983603</v>
      </c>
      <c r="DW17">
        <f t="shared" ca="1" si="4"/>
        <v>9.8809294988460348</v>
      </c>
      <c r="DX17">
        <f t="shared" ca="1" si="4"/>
        <v>9.8792369813389502</v>
      </c>
      <c r="DY17">
        <f t="shared" ca="1" si="4"/>
        <v>9.8820050735561242</v>
      </c>
      <c r="DZ17">
        <f t="shared" ca="1" si="4"/>
        <v>9.8798534967535581</v>
      </c>
      <c r="EA17">
        <f t="shared" ca="1" si="5"/>
        <v>9.8786220396783939</v>
      </c>
      <c r="EB17">
        <f t="shared" ca="1" si="5"/>
        <v>9.8758079581105989</v>
      </c>
      <c r="EC17">
        <f t="shared" ca="1" si="5"/>
        <v>9.8794546946074835</v>
      </c>
      <c r="ED17">
        <f t="shared" ca="1" si="5"/>
        <v>9.881992715033828</v>
      </c>
      <c r="EE17">
        <f t="shared" ca="1" si="5"/>
        <v>9.8822737140336301</v>
      </c>
      <c r="EF17">
        <f t="shared" ca="1" si="5"/>
        <v>9.8807653939667794</v>
      </c>
      <c r="EG17">
        <f t="shared" ca="1" si="5"/>
        <v>9.88107460664658</v>
      </c>
      <c r="EH17">
        <f t="shared" ca="1" si="5"/>
        <v>9.8759150249032341</v>
      </c>
      <c r="EI17">
        <f t="shared" ca="1" si="5"/>
        <v>9.8812447902756357</v>
      </c>
      <c r="EJ17">
        <f t="shared" ca="1" si="5"/>
        <v>9.8806443546773384</v>
      </c>
      <c r="EK17">
        <f t="shared" ca="1" si="5"/>
        <v>9.8814990896843469</v>
      </c>
      <c r="EL17">
        <f t="shared" ca="1" si="5"/>
        <v>9.8833070546131623</v>
      </c>
      <c r="EM17">
        <f t="shared" ca="1" si="5"/>
        <v>9.8796172053426297</v>
      </c>
      <c r="EN17">
        <f t="shared" ca="1" si="5"/>
        <v>9.8777859584282215</v>
      </c>
      <c r="EO17">
        <f t="shared" ca="1" si="5"/>
        <v>9.8765233947314304</v>
      </c>
      <c r="EP17">
        <f t="shared" ca="1" si="5"/>
        <v>9.8799140191796919</v>
      </c>
      <c r="EQ17">
        <f t="shared" ca="1" si="5"/>
        <v>9.8777843199172661</v>
      </c>
      <c r="ER17">
        <f t="shared" ca="1" si="5"/>
        <v>9.8786773121533464</v>
      </c>
      <c r="ES17">
        <f t="shared" ca="1" si="5"/>
        <v>9.8741309635782137</v>
      </c>
      <c r="ET17">
        <f t="shared" ca="1" si="5"/>
        <v>9.8794566266437887</v>
      </c>
      <c r="EU17">
        <f t="shared" ca="1" si="5"/>
        <v>9.8765862112869716</v>
      </c>
      <c r="EV17">
        <f t="shared" ca="1" si="5"/>
        <v>9.8793693084195606</v>
      </c>
      <c r="EW17">
        <f t="shared" ca="1" si="5"/>
        <v>9.8762890681322553</v>
      </c>
      <c r="EX17">
        <f t="shared" ca="1" si="5"/>
        <v>9.8793355112622958</v>
      </c>
      <c r="EY17">
        <f t="shared" ca="1" si="5"/>
        <v>9.8747548033602666</v>
      </c>
      <c r="EZ17">
        <f t="shared" ca="1" si="5"/>
        <v>9.8791293244209513</v>
      </c>
      <c r="FA17">
        <f t="shared" ca="1" si="5"/>
        <v>9.8778068185099297</v>
      </c>
      <c r="FB17">
        <f t="shared" ca="1" si="5"/>
        <v>9.8774975076220137</v>
      </c>
      <c r="FC17">
        <f t="shared" ca="1" si="5"/>
        <v>9.8765143822333883</v>
      </c>
      <c r="FD17">
        <f t="shared" ca="1" si="5"/>
        <v>9.8786693875195475</v>
      </c>
      <c r="FE17">
        <f t="shared" ca="1" si="5"/>
        <v>9.8756791081257251</v>
      </c>
      <c r="FF17">
        <f t="shared" ca="1" si="5"/>
        <v>9.8809450870691542</v>
      </c>
      <c r="FG17">
        <f t="shared" ca="1" si="5"/>
        <v>9.8759064925937352</v>
      </c>
      <c r="FH17">
        <f t="shared" ca="1" si="5"/>
        <v>9.8753528986474297</v>
      </c>
      <c r="FI17">
        <f t="shared" ca="1" si="5"/>
        <v>9.875803557314196</v>
      </c>
      <c r="FJ17">
        <f t="shared" ca="1" si="5"/>
        <v>9.8752006412842217</v>
      </c>
      <c r="FK17">
        <f t="shared" ca="1" si="5"/>
        <v>9.8750169154901446</v>
      </c>
      <c r="FL17">
        <f t="shared" ca="1" si="5"/>
        <v>9.8739607674432737</v>
      </c>
      <c r="FM17">
        <f t="shared" ca="1" si="5"/>
        <v>9.8781577152095092</v>
      </c>
      <c r="FN17">
        <f t="shared" ca="1" si="5"/>
        <v>9.8804408154224959</v>
      </c>
      <c r="FO17">
        <f t="shared" ca="1" si="5"/>
        <v>9.8757814229364165</v>
      </c>
      <c r="FP17">
        <f t="shared" ca="1" si="5"/>
        <v>9.8783910743775891</v>
      </c>
      <c r="FQ17">
        <f t="shared" ca="1" si="5"/>
        <v>9.878532752190841</v>
      </c>
      <c r="FR17">
        <f t="shared" ca="1" si="5"/>
        <v>9.8764265707724768</v>
      </c>
      <c r="FS17">
        <f t="shared" ca="1" si="5"/>
        <v>9.8775642677219171</v>
      </c>
      <c r="FT17">
        <f t="shared" ca="1" si="5"/>
        <v>9.8785911439644103</v>
      </c>
      <c r="FU17">
        <f t="shared" ca="1" si="5"/>
        <v>9.8805524899813673</v>
      </c>
      <c r="FV17">
        <f t="shared" ca="1" si="5"/>
        <v>9.8769936044963274</v>
      </c>
      <c r="FW17">
        <f t="shared" ca="1" si="5"/>
        <v>9.8755414945816895</v>
      </c>
      <c r="FX17">
        <f t="shared" ca="1" si="5"/>
        <v>9.879384225571135</v>
      </c>
      <c r="FY17">
        <f t="shared" ca="1" si="5"/>
        <v>9.8729211887835451</v>
      </c>
      <c r="FZ17">
        <f t="shared" ca="1" si="5"/>
        <v>9.8793930388230073</v>
      </c>
      <c r="GA17">
        <f t="shared" ca="1" si="5"/>
        <v>9.8740374287451385</v>
      </c>
      <c r="GB17">
        <f t="shared" ca="1" si="5"/>
        <v>9.8737216301841197</v>
      </c>
      <c r="GC17">
        <f t="shared" ca="1" si="5"/>
        <v>9.8826794683904726</v>
      </c>
      <c r="GD17">
        <f t="shared" ca="1" si="5"/>
        <v>9.8772110160207127</v>
      </c>
      <c r="GE17">
        <f t="shared" ca="1" si="5"/>
        <v>9.8804413975230663</v>
      </c>
      <c r="GF17">
        <f t="shared" ca="1" si="5"/>
        <v>9.8792438271388932</v>
      </c>
      <c r="GG17">
        <f t="shared" ca="1" si="5"/>
        <v>9.8814011600670995</v>
      </c>
      <c r="GH17">
        <f t="shared" ca="1" si="5"/>
        <v>9.8766353254080492</v>
      </c>
      <c r="GI17">
        <f t="shared" ca="1" si="5"/>
        <v>9.8777743420606416</v>
      </c>
      <c r="GJ17">
        <f t="shared" ca="1" si="5"/>
        <v>9.8773172627699743</v>
      </c>
      <c r="GK17">
        <f t="shared" ca="1" si="5"/>
        <v>9.8739480938527304</v>
      </c>
      <c r="GL17">
        <f t="shared" ca="1" si="5"/>
        <v>9.8799515118332746</v>
      </c>
      <c r="GM17">
        <f t="shared" ca="1" si="6"/>
        <v>9.8751398978863048</v>
      </c>
      <c r="GN17">
        <f t="shared" ca="1" si="6"/>
        <v>9.8782732550732071</v>
      </c>
      <c r="GO17">
        <f t="shared" ca="1" si="6"/>
        <v>9.8737648704301773</v>
      </c>
      <c r="GP17">
        <f t="shared" ca="1" si="6"/>
        <v>9.8790635358003787</v>
      </c>
      <c r="GQ17">
        <f t="shared" ca="1" si="6"/>
        <v>9.879285162075238</v>
      </c>
      <c r="GR17">
        <f t="shared" ca="1" si="6"/>
        <v>9.8749460514737475</v>
      </c>
      <c r="GS17">
        <f t="shared" ca="1" si="6"/>
        <v>9.8771503869832582</v>
      </c>
      <c r="GT17">
        <f t="shared" ca="1" si="6"/>
        <v>9.8806673591870151</v>
      </c>
      <c r="GU17">
        <f t="shared" ca="1" si="6"/>
        <v>9.8816003250388729</v>
      </c>
      <c r="GV17">
        <f t="shared" ca="1" si="6"/>
        <v>9.8780501507095728</v>
      </c>
      <c r="GW17">
        <f t="shared" ca="1" si="6"/>
        <v>9.8810281453443096</v>
      </c>
      <c r="GX17">
        <f t="shared" ca="1" si="6"/>
        <v>9.8763005637047119</v>
      </c>
      <c r="GY17">
        <f t="shared" ca="1" si="6"/>
        <v>9.8778507261264803</v>
      </c>
      <c r="GZ17">
        <f t="shared" ca="1" si="6"/>
        <v>9.8750549823591776</v>
      </c>
      <c r="HA17">
        <f t="shared" ca="1" si="6"/>
        <v>9.8818748929419549</v>
      </c>
      <c r="HB17">
        <f t="shared" ca="1" si="6"/>
        <v>9.8787332757687523</v>
      </c>
      <c r="HC17">
        <f t="shared" ca="1" si="6"/>
        <v>9.87459339920537</v>
      </c>
      <c r="HD17">
        <f t="shared" ca="1" si="6"/>
        <v>9.8765767847718422</v>
      </c>
      <c r="HE17">
        <f t="shared" ca="1" si="6"/>
        <v>9.8787176965198569</v>
      </c>
      <c r="HF17">
        <f t="shared" ca="1" si="6"/>
        <v>9.8776409373120693</v>
      </c>
      <c r="HG17">
        <f t="shared" ca="1" si="6"/>
        <v>9.878494941060886</v>
      </c>
      <c r="HH17">
        <f t="shared" ca="1" si="6"/>
        <v>9.8777492542142156</v>
      </c>
      <c r="HI17">
        <f t="shared" ca="1" si="6"/>
        <v>9.8790916700762796</v>
      </c>
      <c r="HJ17">
        <f t="shared" ca="1" si="6"/>
        <v>9.8827466202699288</v>
      </c>
      <c r="HK17">
        <f t="shared" ca="1" si="6"/>
        <v>9.8778399294051376</v>
      </c>
      <c r="HL17">
        <f t="shared" ca="1" si="6"/>
        <v>9.876859818498378</v>
      </c>
      <c r="HM17">
        <f t="shared" ca="1" si="6"/>
        <v>9.8736722588009975</v>
      </c>
      <c r="HN17">
        <f t="shared" ca="1" si="6"/>
        <v>9.8721049279185173</v>
      </c>
      <c r="HO17">
        <f t="shared" ca="1" si="6"/>
        <v>9.8779606174800936</v>
      </c>
      <c r="HP17">
        <f t="shared" ca="1" si="6"/>
        <v>9.8778983626702743</v>
      </c>
      <c r="HQ17">
        <f t="shared" ca="1" si="6"/>
        <v>9.8802691300847325</v>
      </c>
      <c r="HR17">
        <f t="shared" ca="1" si="6"/>
        <v>9.8765157438917033</v>
      </c>
      <c r="HS17">
        <f t="shared" ca="1" si="6"/>
        <v>9.876622680966781</v>
      </c>
      <c r="HT17">
        <f t="shared" ca="1" si="6"/>
        <v>9.8785487689306493</v>
      </c>
      <c r="HU17">
        <f t="shared" ca="1" si="6"/>
        <v>9.8772256697798664</v>
      </c>
      <c r="HV17">
        <f t="shared" ca="1" si="6"/>
        <v>9.8749916712002062</v>
      </c>
      <c r="HW17">
        <f t="shared" ca="1" si="6"/>
        <v>9.8782842403171536</v>
      </c>
      <c r="HX17">
        <f t="shared" ca="1" si="6"/>
        <v>9.8800124334585959</v>
      </c>
      <c r="HY17">
        <f t="shared" ca="1" si="6"/>
        <v>9.8760714180914366</v>
      </c>
      <c r="HZ17">
        <f t="shared" ca="1" si="6"/>
        <v>9.8811139128396537</v>
      </c>
      <c r="IA17">
        <f t="shared" ca="1" si="6"/>
        <v>9.882503904037355</v>
      </c>
      <c r="IB17">
        <f t="shared" ca="1" si="6"/>
        <v>9.8788943181082214</v>
      </c>
      <c r="IC17">
        <f t="shared" ca="1" si="6"/>
        <v>9.872160681813698</v>
      </c>
      <c r="ID17">
        <f t="shared" ca="1" si="6"/>
        <v>9.8779611208817943</v>
      </c>
      <c r="IE17">
        <f t="shared" ca="1" si="6"/>
        <v>9.8784045046472055</v>
      </c>
      <c r="IF17">
        <f t="shared" ca="1" si="6"/>
        <v>9.8799447858320235</v>
      </c>
      <c r="IG17">
        <f t="shared" ca="1" si="6"/>
        <v>9.8806844225617674</v>
      </c>
      <c r="IH17">
        <f t="shared" ca="1" si="6"/>
        <v>9.8814271433183709</v>
      </c>
      <c r="II17">
        <f t="shared" ca="1" si="6"/>
        <v>9.8725235132949578</v>
      </c>
      <c r="IJ17">
        <f t="shared" ca="1" si="6"/>
        <v>9.874414175025473</v>
      </c>
      <c r="IK17">
        <f t="shared" ca="1" si="6"/>
        <v>9.8799883278438418</v>
      </c>
      <c r="IL17">
        <f t="shared" ca="1" si="6"/>
        <v>9.8779762271811595</v>
      </c>
      <c r="IM17">
        <f t="shared" ca="1" si="6"/>
        <v>9.8827905872918791</v>
      </c>
      <c r="IN17">
        <f t="shared" ca="1" si="6"/>
        <v>9.8781292758702328</v>
      </c>
      <c r="IO17">
        <f t="shared" ca="1" si="6"/>
        <v>9.8762088825450274</v>
      </c>
      <c r="IP17">
        <f t="shared" ca="1" si="6"/>
        <v>9.8803352999873031</v>
      </c>
      <c r="IQ17">
        <f t="shared" ca="1" si="6"/>
        <v>9.8790172252060504</v>
      </c>
      <c r="IR17">
        <f t="shared" ca="1" si="6"/>
        <v>9.8736018169446531</v>
      </c>
      <c r="IS17">
        <f t="shared" ca="1" si="6"/>
        <v>9.8789562772893689</v>
      </c>
      <c r="IT17">
        <f t="shared" ca="1" si="6"/>
        <v>9.877466579702606</v>
      </c>
      <c r="IU17">
        <f t="shared" ca="1" si="6"/>
        <v>9.8773246680881961</v>
      </c>
      <c r="IV17">
        <f t="shared" ca="1" si="6"/>
        <v>9.873021721498489</v>
      </c>
      <c r="IW17">
        <f t="shared" ca="1" si="6"/>
        <v>9.8773763063578688</v>
      </c>
      <c r="IX17">
        <f t="shared" ca="1" si="6"/>
        <v>9.8761461150023848</v>
      </c>
      <c r="IY17">
        <f t="shared" ca="1" si="7"/>
        <v>9.8809947062503287</v>
      </c>
      <c r="IZ17">
        <f t="shared" ca="1" si="7"/>
        <v>9.8729541286563887</v>
      </c>
      <c r="JA17">
        <f t="shared" ca="1" si="7"/>
        <v>9.8837573874300375</v>
      </c>
      <c r="JB17">
        <f t="shared" ca="1" si="7"/>
        <v>9.8763040925293542</v>
      </c>
      <c r="JC17">
        <f t="shared" ca="1" si="7"/>
        <v>9.8785106769037263</v>
      </c>
      <c r="JD17">
        <f t="shared" ca="1" si="7"/>
        <v>9.8803879537401631</v>
      </c>
      <c r="JE17">
        <f t="shared" ca="1" si="7"/>
        <v>9.8776324308460044</v>
      </c>
      <c r="JF17">
        <f t="shared" ca="1" si="7"/>
        <v>9.8850146184575305</v>
      </c>
      <c r="JG17">
        <f t="shared" ca="1" si="7"/>
        <v>9.8797393694304407</v>
      </c>
      <c r="JH17">
        <f t="shared" ca="1" si="7"/>
        <v>9.8844556760966498</v>
      </c>
      <c r="JI17">
        <f t="shared" ca="1" si="7"/>
        <v>9.8790033154079406</v>
      </c>
      <c r="JJ17">
        <f t="shared" ca="1" si="7"/>
        <v>9.8804172777998005</v>
      </c>
      <c r="JK17">
        <f t="shared" ca="1" si="7"/>
        <v>9.8800276409511678</v>
      </c>
      <c r="JL17">
        <f t="shared" ca="1" si="7"/>
        <v>9.8817757279286447</v>
      </c>
      <c r="JM17">
        <f t="shared" ca="1" si="7"/>
        <v>9.8798485224485315</v>
      </c>
      <c r="JN17">
        <f t="shared" ca="1" si="7"/>
        <v>9.8797174193435495</v>
      </c>
      <c r="JO17">
        <f t="shared" ca="1" si="7"/>
        <v>9.880339595543191</v>
      </c>
      <c r="JP17">
        <f t="shared" ca="1" si="7"/>
        <v>9.8745268828759425</v>
      </c>
      <c r="JQ17">
        <f t="shared" ca="1" si="7"/>
        <v>9.8761310292940756</v>
      </c>
      <c r="JR17">
        <f t="shared" ca="1" si="7"/>
        <v>9.8729348034522548</v>
      </c>
      <c r="JS17">
        <f t="shared" ca="1" si="7"/>
        <v>9.8801967392634822</v>
      </c>
      <c r="JT17">
        <f t="shared" ca="1" si="7"/>
        <v>9.8797082222743153</v>
      </c>
      <c r="JU17">
        <f t="shared" ca="1" si="7"/>
        <v>9.8750502118021419</v>
      </c>
      <c r="JV17">
        <f t="shared" ca="1" si="7"/>
        <v>9.8780735036221436</v>
      </c>
      <c r="JW17">
        <f t="shared" ca="1" si="7"/>
        <v>9.8851099772527391</v>
      </c>
      <c r="JX17">
        <f t="shared" ca="1" si="7"/>
        <v>9.8802387367824132</v>
      </c>
      <c r="JY17">
        <f t="shared" ca="1" si="7"/>
        <v>9.881387729045608</v>
      </c>
      <c r="JZ17">
        <f t="shared" ca="1" si="7"/>
        <v>9.8783121043907212</v>
      </c>
      <c r="KA17">
        <f t="shared" ca="1" si="7"/>
        <v>9.8735986853969777</v>
      </c>
      <c r="KB17">
        <f t="shared" ca="1" si="7"/>
        <v>9.8781474382616388</v>
      </c>
      <c r="KC17">
        <f t="shared" ca="1" si="7"/>
        <v>9.8784630136439073</v>
      </c>
      <c r="KD17">
        <f t="shared" ca="1" si="7"/>
        <v>9.8794995122617841</v>
      </c>
      <c r="KE17">
        <f t="shared" ca="1" si="7"/>
        <v>9.87841903388302</v>
      </c>
      <c r="KF17">
        <f t="shared" ca="1" si="7"/>
        <v>9.8790966330296062</v>
      </c>
      <c r="KG17">
        <f t="shared" ca="1" si="7"/>
        <v>9.8749999540205859</v>
      </c>
      <c r="KH17">
        <f t="shared" ca="1" si="7"/>
        <v>9.8804592164274077</v>
      </c>
      <c r="KI17">
        <f t="shared" ca="1" si="7"/>
        <v>9.8796454935052989</v>
      </c>
      <c r="KJ17">
        <f t="shared" ca="1" si="7"/>
        <v>9.8762170387545165</v>
      </c>
      <c r="KK17">
        <f t="shared" ca="1" si="7"/>
        <v>9.8827009091170854</v>
      </c>
      <c r="KL17">
        <f t="shared" ca="1" si="7"/>
        <v>9.8783268341697159</v>
      </c>
      <c r="KM17">
        <f t="shared" ca="1" si="7"/>
        <v>9.8790162604737422</v>
      </c>
      <c r="KN17">
        <f t="shared" ca="1" si="7"/>
        <v>9.8789085438331057</v>
      </c>
      <c r="KO17">
        <f t="shared" ca="1" si="7"/>
        <v>9.8792822957078048</v>
      </c>
      <c r="KP17">
        <f t="shared" ca="1" si="7"/>
        <v>9.8733378909258214</v>
      </c>
      <c r="KQ17">
        <f t="shared" ca="1" si="7"/>
        <v>9.8756129473913514</v>
      </c>
      <c r="KR17">
        <f t="shared" ca="1" si="7"/>
        <v>9.8803206704976922</v>
      </c>
      <c r="KS17">
        <f t="shared" ca="1" si="7"/>
        <v>9.8776562201712395</v>
      </c>
      <c r="KT17">
        <f t="shared" ca="1" si="7"/>
        <v>9.8775795256794705</v>
      </c>
      <c r="KU17">
        <f t="shared" ca="1" si="7"/>
        <v>9.8830963858918022</v>
      </c>
      <c r="KV17">
        <f t="shared" ca="1" si="7"/>
        <v>9.881029210405563</v>
      </c>
      <c r="KW17">
        <f t="shared" ca="1" si="7"/>
        <v>9.8812713421447338</v>
      </c>
      <c r="KX17">
        <f t="shared" ca="1" si="7"/>
        <v>9.8780456007447555</v>
      </c>
      <c r="KY17">
        <f t="shared" ca="1" si="7"/>
        <v>9.878527330094931</v>
      </c>
      <c r="KZ17">
        <f t="shared" ca="1" si="7"/>
        <v>9.8803357590678615</v>
      </c>
      <c r="LA17">
        <f t="shared" ca="1" si="7"/>
        <v>9.8823207781334457</v>
      </c>
      <c r="LB17">
        <f t="shared" ca="1" si="7"/>
        <v>9.8764308751810272</v>
      </c>
      <c r="LC17">
        <f t="shared" ca="1" si="7"/>
        <v>9.8797193040694768</v>
      </c>
      <c r="LD17">
        <f t="shared" ca="1" si="7"/>
        <v>9.8779804814792698</v>
      </c>
      <c r="LE17">
        <f t="shared" ca="1" si="7"/>
        <v>9.879165393105108</v>
      </c>
      <c r="LF17">
        <f t="shared" ca="1" si="7"/>
        <v>9.8775298041715693</v>
      </c>
      <c r="LG17">
        <f t="shared" ca="1" si="7"/>
        <v>9.881868645343312</v>
      </c>
      <c r="LH17">
        <f t="shared" ca="1" si="7"/>
        <v>9.8768354470685935</v>
      </c>
      <c r="LI17">
        <f t="shared" ca="1" si="7"/>
        <v>9.8790148132424829</v>
      </c>
      <c r="LJ17">
        <f t="shared" ca="1" si="7"/>
        <v>9.8815222482986655</v>
      </c>
      <c r="LK17">
        <f t="shared" ca="1" si="8"/>
        <v>9.8784046594304744</v>
      </c>
      <c r="LL17">
        <f t="shared" ca="1" si="8"/>
        <v>9.8789973043229882</v>
      </c>
      <c r="LM17">
        <f t="shared" ca="1" si="8"/>
        <v>9.8818011404009845</v>
      </c>
      <c r="LN17">
        <f t="shared" ca="1" si="8"/>
        <v>9.8755445782409446</v>
      </c>
      <c r="LO17">
        <f t="shared" ca="1" si="8"/>
        <v>9.8820875356286528</v>
      </c>
      <c r="LP17">
        <f t="shared" ca="1" si="8"/>
        <v>9.8775528103749739</v>
      </c>
      <c r="LQ17">
        <f t="shared" ca="1" si="8"/>
        <v>9.874420250432042</v>
      </c>
      <c r="LR17">
        <f t="shared" ca="1" si="8"/>
        <v>9.8787451340812922</v>
      </c>
      <c r="LS17">
        <f t="shared" ca="1" si="8"/>
        <v>9.8777484804104123</v>
      </c>
      <c r="LT17">
        <f t="shared" ca="1" si="8"/>
        <v>9.8827205767549557</v>
      </c>
      <c r="LU17">
        <f t="shared" ca="1" si="8"/>
        <v>9.8756307152415985</v>
      </c>
      <c r="LV17">
        <f t="shared" ca="1" si="8"/>
        <v>9.8806916922951959</v>
      </c>
      <c r="LW17">
        <f t="shared" ca="1" si="8"/>
        <v>9.8790477845606066</v>
      </c>
      <c r="LX17">
        <f t="shared" ca="1" si="8"/>
        <v>9.8767421773416135</v>
      </c>
      <c r="LY17">
        <f t="shared" ca="1" si="8"/>
        <v>9.878086703226689</v>
      </c>
      <c r="LZ17">
        <f t="shared" ca="1" si="8"/>
        <v>9.8771287383844442</v>
      </c>
      <c r="MA17">
        <f t="shared" ca="1" si="8"/>
        <v>9.8780781589741427</v>
      </c>
      <c r="MB17">
        <f t="shared" ca="1" si="8"/>
        <v>9.8776307885400954</v>
      </c>
      <c r="MC17">
        <f t="shared" ca="1" si="8"/>
        <v>9.8795282864523575</v>
      </c>
      <c r="MD17">
        <f t="shared" ca="1" si="8"/>
        <v>9.8812714342835068</v>
      </c>
      <c r="ME17">
        <f t="shared" ca="1" si="8"/>
        <v>9.8743820944090146</v>
      </c>
      <c r="MF17">
        <f t="shared" ca="1" si="8"/>
        <v>9.874406041774197</v>
      </c>
      <c r="MG17">
        <f t="shared" ca="1" si="8"/>
        <v>9.8799115431029136</v>
      </c>
      <c r="MH17">
        <f t="shared" ca="1" si="8"/>
        <v>9.8733832851487833</v>
      </c>
      <c r="MI17">
        <f t="shared" ca="1" si="8"/>
        <v>9.8786029615998761</v>
      </c>
      <c r="MJ17">
        <f t="shared" ca="1" si="8"/>
        <v>9.875927874624999</v>
      </c>
      <c r="MK17">
        <f t="shared" ca="1" si="8"/>
        <v>9.8800747494725538</v>
      </c>
      <c r="ML17">
        <f t="shared" ca="1" si="8"/>
        <v>9.8798464894679974</v>
      </c>
      <c r="MM17">
        <f t="shared" ca="1" si="8"/>
        <v>9.8783503243766422</v>
      </c>
      <c r="MN17">
        <f t="shared" ca="1" si="8"/>
        <v>9.8758240858536421</v>
      </c>
      <c r="MO17">
        <f t="shared" ca="1" si="8"/>
        <v>9.8761606918596421</v>
      </c>
      <c r="MP17">
        <f t="shared" ca="1" si="8"/>
        <v>9.8818674310469756</v>
      </c>
      <c r="MQ17">
        <f t="shared" ca="1" si="8"/>
        <v>9.8793138713193009</v>
      </c>
      <c r="MR17">
        <f t="shared" ca="1" si="8"/>
        <v>9.8820772279338414</v>
      </c>
      <c r="MS17">
        <f t="shared" ca="1" si="8"/>
        <v>9.8794294365359026</v>
      </c>
      <c r="MT17">
        <f t="shared" ca="1" si="8"/>
        <v>9.8781290484488515</v>
      </c>
      <c r="MU17">
        <f t="shared" ca="1" si="8"/>
        <v>9.8771068034543443</v>
      </c>
      <c r="MV17">
        <f t="shared" ca="1" si="8"/>
        <v>9.8796346574745524</v>
      </c>
      <c r="MW17">
        <f t="shared" ca="1" si="8"/>
        <v>9.8781838751962958</v>
      </c>
      <c r="MX17">
        <f t="shared" ca="1" si="8"/>
        <v>9.8830361576890162</v>
      </c>
      <c r="MY17">
        <f t="shared" ca="1" si="8"/>
        <v>9.8783950640862166</v>
      </c>
      <c r="MZ17">
        <f t="shared" ca="1" si="8"/>
        <v>9.8794868762331127</v>
      </c>
      <c r="NA17">
        <f t="shared" ca="1" si="8"/>
        <v>9.8771420701196835</v>
      </c>
      <c r="NB17">
        <f t="shared" ca="1" si="8"/>
        <v>9.8770712872014617</v>
      </c>
      <c r="NC17">
        <f t="shared" ca="1" si="8"/>
        <v>9.8745275227871883</v>
      </c>
      <c r="ND17">
        <f t="shared" ca="1" si="8"/>
        <v>9.8793570586230164</v>
      </c>
      <c r="NE17">
        <f t="shared" ca="1" si="8"/>
        <v>9.8808515630870701</v>
      </c>
      <c r="NF17">
        <f t="shared" ca="1" si="8"/>
        <v>9.8783278335179361</v>
      </c>
      <c r="NG17">
        <f t="shared" ca="1" si="8"/>
        <v>9.8806938857934412</v>
      </c>
      <c r="NH17">
        <f t="shared" ca="1" si="8"/>
        <v>9.8790797216973001</v>
      </c>
      <c r="NI17">
        <f t="shared" ca="1" si="8"/>
        <v>9.8806136922663725</v>
      </c>
      <c r="NJ17">
        <f t="shared" ca="1" si="8"/>
        <v>9.876137715377137</v>
      </c>
      <c r="NK17">
        <f t="shared" ca="1" si="8"/>
        <v>9.8801360814362891</v>
      </c>
      <c r="NL17">
        <f t="shared" ca="1" si="8"/>
        <v>9.8763973150375275</v>
      </c>
      <c r="NM17">
        <f t="shared" ca="1" si="8"/>
        <v>9.8776850234372144</v>
      </c>
      <c r="NN17">
        <f t="shared" ca="1" si="8"/>
        <v>9.8774401584757605</v>
      </c>
      <c r="NO17">
        <f t="shared" ca="1" si="8"/>
        <v>9.8820319607550502</v>
      </c>
      <c r="NP17">
        <f t="shared" ca="1" si="8"/>
        <v>9.8786005522235083</v>
      </c>
      <c r="NQ17">
        <f t="shared" ca="1" si="8"/>
        <v>9.8785048653890737</v>
      </c>
      <c r="NR17">
        <f t="shared" ca="1" si="8"/>
        <v>9.8788859650297116</v>
      </c>
      <c r="NS17">
        <f t="shared" ca="1" si="8"/>
        <v>9.879448688141462</v>
      </c>
      <c r="NT17">
        <f t="shared" ca="1" si="8"/>
        <v>9.8767219237507096</v>
      </c>
      <c r="NU17">
        <f t="shared" ca="1" si="8"/>
        <v>9.8805020539224326</v>
      </c>
      <c r="NV17">
        <f t="shared" ca="1" si="8"/>
        <v>9.8775348274638812</v>
      </c>
      <c r="NW17">
        <f t="shared" ca="1" si="9"/>
        <v>9.8757944820721182</v>
      </c>
      <c r="NX17">
        <f t="shared" ca="1" si="9"/>
        <v>9.8794255646631655</v>
      </c>
      <c r="NY17">
        <f t="shared" ca="1" si="9"/>
        <v>9.8789667309516354</v>
      </c>
      <c r="NZ17">
        <f t="shared" ca="1" si="9"/>
        <v>9.8743172230305838</v>
      </c>
      <c r="OA17">
        <f t="shared" ca="1" si="9"/>
        <v>9.8754773192092635</v>
      </c>
      <c r="OB17">
        <f t="shared" ca="1" si="9"/>
        <v>9.880474089071777</v>
      </c>
      <c r="OC17">
        <f t="shared" ca="1" si="9"/>
        <v>9.8789170778129893</v>
      </c>
      <c r="OD17">
        <f t="shared" ca="1" si="9"/>
        <v>9.8784170747611899</v>
      </c>
      <c r="OE17">
        <f t="shared" ca="1" si="9"/>
        <v>9.8749489954208336</v>
      </c>
      <c r="OF17">
        <f t="shared" ca="1" si="9"/>
        <v>9.8805820293196991</v>
      </c>
      <c r="OG17">
        <f t="shared" ca="1" si="9"/>
        <v>9.8765430110606651</v>
      </c>
      <c r="OH17">
        <f t="shared" ca="1" si="9"/>
        <v>9.8807452627134094</v>
      </c>
      <c r="OI17">
        <f t="shared" ca="1" si="9"/>
        <v>9.8823152790480933</v>
      </c>
      <c r="OJ17">
        <f t="shared" ca="1" si="9"/>
        <v>9.8799648345642179</v>
      </c>
      <c r="OK17">
        <f t="shared" ca="1" si="9"/>
        <v>9.875868462399751</v>
      </c>
      <c r="OL17">
        <f t="shared" ca="1" si="9"/>
        <v>9.8748116679363989</v>
      </c>
      <c r="OM17">
        <f t="shared" ca="1" si="9"/>
        <v>9.8735842356346097</v>
      </c>
      <c r="ON17">
        <f t="shared" ca="1" si="9"/>
        <v>9.8767690769745027</v>
      </c>
      <c r="OO17">
        <f t="shared" ca="1" si="9"/>
        <v>9.8754781482433529</v>
      </c>
      <c r="OP17">
        <f t="shared" ca="1" si="9"/>
        <v>9.8776728984595614</v>
      </c>
      <c r="OQ17">
        <f t="shared" ca="1" si="9"/>
        <v>9.8776705107676044</v>
      </c>
      <c r="OR17">
        <f t="shared" ca="1" si="9"/>
        <v>9.8760235642067666</v>
      </c>
      <c r="OS17">
        <f t="shared" ca="1" si="9"/>
        <v>9.8765441493116857</v>
      </c>
      <c r="OT17">
        <f t="shared" ca="1" si="9"/>
        <v>9.8811324358138606</v>
      </c>
      <c r="OU17">
        <f t="shared" ca="1" si="9"/>
        <v>9.8746942909660156</v>
      </c>
      <c r="OV17">
        <f t="shared" ca="1" si="9"/>
        <v>9.8816290145305103</v>
      </c>
      <c r="OW17">
        <f t="shared" ca="1" si="9"/>
        <v>9.8810378654160651</v>
      </c>
      <c r="OX17">
        <f t="shared" ca="1" si="9"/>
        <v>9.8738134138979348</v>
      </c>
      <c r="OY17">
        <f t="shared" ca="1" si="9"/>
        <v>9.8761309591970434</v>
      </c>
      <c r="OZ17">
        <f t="shared" ca="1" si="9"/>
        <v>9.8788286173004121</v>
      </c>
      <c r="PA17">
        <f t="shared" ca="1" si="9"/>
        <v>9.8815852200424068</v>
      </c>
      <c r="PB17">
        <f t="shared" ca="1" si="9"/>
        <v>9.878284309089894</v>
      </c>
      <c r="PC17">
        <f t="shared" ca="1" si="9"/>
        <v>9.8781263909634909</v>
      </c>
      <c r="PD17">
        <f t="shared" ca="1" si="9"/>
        <v>9.8756232519226845</v>
      </c>
      <c r="PE17">
        <f t="shared" ca="1" si="9"/>
        <v>9.8803559223557276</v>
      </c>
      <c r="PF17">
        <f t="shared" ca="1" si="9"/>
        <v>9.8740135951076589</v>
      </c>
      <c r="PG17">
        <f t="shared" ca="1" si="9"/>
        <v>9.8744778178653192</v>
      </c>
      <c r="PH17">
        <f t="shared" ca="1" si="9"/>
        <v>9.8765093639009596</v>
      </c>
      <c r="PI17">
        <f t="shared" ca="1" si="9"/>
        <v>9.8816612738873726</v>
      </c>
      <c r="PJ17">
        <f t="shared" ca="1" si="9"/>
        <v>9.8754774411490125</v>
      </c>
      <c r="PK17">
        <f t="shared" ca="1" si="9"/>
        <v>9.8772742743787649</v>
      </c>
      <c r="PL17">
        <f t="shared" ca="1" si="9"/>
        <v>9.8761221736156539</v>
      </c>
      <c r="PM17">
        <f t="shared" ca="1" si="9"/>
        <v>9.8763232010880699</v>
      </c>
      <c r="PN17">
        <f t="shared" ca="1" si="9"/>
        <v>9.8791481179715799</v>
      </c>
      <c r="PO17">
        <f t="shared" ca="1" si="9"/>
        <v>9.878068671692656</v>
      </c>
      <c r="PP17">
        <f t="shared" ca="1" si="9"/>
        <v>9.872576412585035</v>
      </c>
      <c r="PQ17">
        <f t="shared" ca="1" si="9"/>
        <v>9.8815687550985292</v>
      </c>
      <c r="PR17">
        <f t="shared" ca="1" si="9"/>
        <v>9.8836419950390102</v>
      </c>
      <c r="PS17">
        <f t="shared" ca="1" si="9"/>
        <v>9.8837812471830606</v>
      </c>
      <c r="PT17">
        <f t="shared" ca="1" si="9"/>
        <v>9.8772919922296918</v>
      </c>
      <c r="PU17">
        <f t="shared" ca="1" si="9"/>
        <v>9.8789749316260735</v>
      </c>
      <c r="PV17">
        <f t="shared" ca="1" si="9"/>
        <v>9.8823022078729856</v>
      </c>
      <c r="PW17">
        <f t="shared" ca="1" si="9"/>
        <v>9.8787385687085134</v>
      </c>
      <c r="PX17">
        <f t="shared" ca="1" si="9"/>
        <v>9.8824484507339427</v>
      </c>
      <c r="PY17">
        <f t="shared" ca="1" si="9"/>
        <v>9.8733599751235275</v>
      </c>
      <c r="PZ17">
        <f t="shared" ca="1" si="9"/>
        <v>9.8748400147086937</v>
      </c>
      <c r="QA17">
        <f t="shared" ca="1" si="9"/>
        <v>9.8772769856898854</v>
      </c>
      <c r="QB17">
        <f t="shared" ca="1" si="9"/>
        <v>9.8787902328805544</v>
      </c>
      <c r="QC17">
        <f t="shared" ca="1" si="9"/>
        <v>9.8732476337811015</v>
      </c>
      <c r="QD17">
        <f t="shared" ca="1" si="9"/>
        <v>9.8814858435213644</v>
      </c>
      <c r="QE17">
        <f t="shared" ca="1" si="9"/>
        <v>9.8791715334689894</v>
      </c>
      <c r="QF17">
        <f t="shared" ca="1" si="9"/>
        <v>9.8759288056690657</v>
      </c>
      <c r="QG17">
        <f t="shared" ca="1" si="9"/>
        <v>9.8761491836611999</v>
      </c>
      <c r="QH17">
        <f t="shared" ca="1" si="9"/>
        <v>9.8785091177313102</v>
      </c>
      <c r="QI17">
        <f t="shared" ca="1" si="10"/>
        <v>9.8789888755803172</v>
      </c>
      <c r="QJ17">
        <f t="shared" ca="1" si="10"/>
        <v>9.8743134202512675</v>
      </c>
      <c r="QK17">
        <f t="shared" ca="1" si="10"/>
        <v>9.8783814973411594</v>
      </c>
      <c r="QL17">
        <f t="shared" ca="1" si="10"/>
        <v>9.8805950995528136</v>
      </c>
      <c r="QM17">
        <f t="shared" ca="1" si="10"/>
        <v>9.8793885508160226</v>
      </c>
      <c r="QN17">
        <f t="shared" ca="1" si="10"/>
        <v>9.8800583733396987</v>
      </c>
      <c r="QO17">
        <f t="shared" ca="1" si="10"/>
        <v>9.8761547780589556</v>
      </c>
      <c r="QP17">
        <f t="shared" ca="1" si="10"/>
        <v>9.8821850801814382</v>
      </c>
      <c r="QQ17">
        <f t="shared" ca="1" si="10"/>
        <v>9.8787986268760601</v>
      </c>
      <c r="QR17">
        <f t="shared" ca="1" si="10"/>
        <v>9.8820320170199398</v>
      </c>
      <c r="QS17">
        <f t="shared" ca="1" si="10"/>
        <v>9.8743363026781932</v>
      </c>
      <c r="QT17">
        <f t="shared" ca="1" si="10"/>
        <v>9.8764123866881626</v>
      </c>
      <c r="QU17">
        <f t="shared" ca="1" si="10"/>
        <v>9.8829257699994475</v>
      </c>
      <c r="QV17">
        <f t="shared" ca="1" si="10"/>
        <v>9.8793427125170687</v>
      </c>
      <c r="QW17">
        <f t="shared" ca="1" si="10"/>
        <v>9.879140369003343</v>
      </c>
      <c r="QX17">
        <f t="shared" ca="1" si="10"/>
        <v>9.8766208334221108</v>
      </c>
      <c r="QY17">
        <f t="shared" ca="1" si="10"/>
        <v>9.8805377819540396</v>
      </c>
      <c r="QZ17">
        <f t="shared" ca="1" si="10"/>
        <v>9.8782701673409949</v>
      </c>
      <c r="RA17">
        <f t="shared" ca="1" si="10"/>
        <v>9.8798507159591722</v>
      </c>
      <c r="RB17">
        <f t="shared" ca="1" si="10"/>
        <v>9.8791334521576246</v>
      </c>
      <c r="RC17">
        <f t="shared" ca="1" si="10"/>
        <v>9.8705831000348176</v>
      </c>
      <c r="RD17">
        <f t="shared" ca="1" si="10"/>
        <v>9.8776326330954713</v>
      </c>
      <c r="RE17">
        <f t="shared" ca="1" si="10"/>
        <v>9.8772931137856528</v>
      </c>
      <c r="RF17">
        <f t="shared" ca="1" si="10"/>
        <v>9.8800154350649887</v>
      </c>
      <c r="RG17">
        <f t="shared" ca="1" si="10"/>
        <v>9.8818465244690064</v>
      </c>
      <c r="RH17">
        <f t="shared" ca="1" si="10"/>
        <v>9.8756417626101687</v>
      </c>
      <c r="RI17">
        <f t="shared" ca="1" si="10"/>
        <v>9.877590595712471</v>
      </c>
      <c r="RJ17">
        <f t="shared" ca="1" si="10"/>
        <v>9.878791380094663</v>
      </c>
      <c r="RK17">
        <f t="shared" ca="1" si="10"/>
        <v>9.8806906527317633</v>
      </c>
      <c r="RL17">
        <f t="shared" ca="1" si="10"/>
        <v>9.8799654996020063</v>
      </c>
      <c r="RM17">
        <f t="shared" ca="1" si="10"/>
        <v>9.8807448957323771</v>
      </c>
      <c r="RN17">
        <f t="shared" ca="1" si="10"/>
        <v>9.8742329177654096</v>
      </c>
      <c r="RO17">
        <f t="shared" ca="1" si="10"/>
        <v>9.8838168705872071</v>
      </c>
      <c r="RP17">
        <f t="shared" ca="1" si="10"/>
        <v>9.8794340975534833</v>
      </c>
      <c r="RQ17">
        <f t="shared" ca="1" si="10"/>
        <v>9.8777815315956037</v>
      </c>
      <c r="RR17">
        <f t="shared" ca="1" si="10"/>
        <v>9.8765630571265337</v>
      </c>
      <c r="RS17">
        <f t="shared" ca="1" si="10"/>
        <v>9.8782464847492992</v>
      </c>
      <c r="RT17">
        <f t="shared" ca="1" si="10"/>
        <v>9.8783266044232239</v>
      </c>
      <c r="RU17">
        <f t="shared" ca="1" si="10"/>
        <v>9.8731449832029519</v>
      </c>
      <c r="RV17">
        <f t="shared" ca="1" si="10"/>
        <v>9.8772364414435376</v>
      </c>
      <c r="RW17">
        <f t="shared" ca="1" si="10"/>
        <v>9.881960983614654</v>
      </c>
      <c r="RX17">
        <f t="shared" ca="1" si="10"/>
        <v>9.8801062745997896</v>
      </c>
      <c r="RY17">
        <f t="shared" ca="1" si="10"/>
        <v>9.8756775962190577</v>
      </c>
      <c r="RZ17">
        <f t="shared" ca="1" si="10"/>
        <v>9.8761346479076835</v>
      </c>
      <c r="SA17">
        <f t="shared" ca="1" si="10"/>
        <v>9.8777958267533243</v>
      </c>
      <c r="SB17">
        <f t="shared" ca="1" si="10"/>
        <v>9.8762293133896328</v>
      </c>
      <c r="SC17">
        <f t="shared" ca="1" si="10"/>
        <v>9.8826277772828153</v>
      </c>
      <c r="SD17">
        <f t="shared" ca="1" si="10"/>
        <v>9.880872418242717</v>
      </c>
      <c r="SE17">
        <f t="shared" ca="1" si="10"/>
        <v>9.8773310162363224</v>
      </c>
      <c r="SF17">
        <f t="shared" ca="1" si="10"/>
        <v>9.8803318620800216</v>
      </c>
      <c r="SG17">
        <f t="shared" ca="1" si="10"/>
        <v>9.8784696135517631</v>
      </c>
    </row>
    <row r="18" spans="1:501" x14ac:dyDescent="0.3">
      <c r="A18" s="1">
        <v>45787</v>
      </c>
      <c r="B18">
        <f t="shared" ca="1" si="11"/>
        <v>9.9829868094216394</v>
      </c>
      <c r="C18">
        <f t="shared" ca="1" si="12"/>
        <v>9.9869467013829354</v>
      </c>
      <c r="D18">
        <f t="shared" ca="1" si="12"/>
        <v>9.9903013214044698</v>
      </c>
      <c r="E18">
        <f t="shared" ca="1" si="12"/>
        <v>9.9886971548678503</v>
      </c>
      <c r="F18">
        <f t="shared" ca="1" si="12"/>
        <v>9.9878764034903185</v>
      </c>
      <c r="G18">
        <f t="shared" ca="1" si="12"/>
        <v>9.9859113000760011</v>
      </c>
      <c r="H18">
        <f t="shared" ca="1" si="12"/>
        <v>9.9918032037344684</v>
      </c>
      <c r="I18">
        <f t="shared" ca="1" si="12"/>
        <v>9.9875843854959943</v>
      </c>
      <c r="J18">
        <f t="shared" ca="1" si="12"/>
        <v>9.9876920511465084</v>
      </c>
      <c r="K18">
        <f t="shared" ca="1" si="12"/>
        <v>9.9876969674698159</v>
      </c>
      <c r="L18">
        <f t="shared" ca="1" si="12"/>
        <v>9.9911236164855914</v>
      </c>
      <c r="M18">
        <f t="shared" ca="1" si="12"/>
        <v>9.9931579547608571</v>
      </c>
      <c r="N18">
        <f t="shared" ca="1" si="12"/>
        <v>9.9857367922068523</v>
      </c>
      <c r="O18">
        <f t="shared" ca="1" si="12"/>
        <v>9.986662131096665</v>
      </c>
      <c r="P18">
        <f t="shared" ca="1" si="12"/>
        <v>9.9876323489238512</v>
      </c>
      <c r="Q18">
        <f t="shared" ca="1" si="12"/>
        <v>9.9889329609589588</v>
      </c>
      <c r="R18">
        <f t="shared" ca="1" si="12"/>
        <v>9.9854111367931147</v>
      </c>
      <c r="S18">
        <f t="shared" ca="1" si="12"/>
        <v>9.9881872259370503</v>
      </c>
      <c r="T18">
        <f t="shared" ca="1" si="12"/>
        <v>9.990887674534557</v>
      </c>
      <c r="U18">
        <f t="shared" ca="1" si="12"/>
        <v>9.9872233926197893</v>
      </c>
      <c r="V18">
        <f t="shared" ca="1" si="12"/>
        <v>9.9900769822711091</v>
      </c>
      <c r="W18">
        <f t="shared" ca="1" si="12"/>
        <v>9.9861592309220786</v>
      </c>
      <c r="X18">
        <f t="shared" ca="1" si="12"/>
        <v>9.9904311572810354</v>
      </c>
      <c r="Y18">
        <f t="shared" ca="1" si="12"/>
        <v>9.9865968175830151</v>
      </c>
      <c r="Z18">
        <f t="shared" ca="1" si="12"/>
        <v>9.9906678687438504</v>
      </c>
      <c r="AA18">
        <f t="shared" ca="1" si="12"/>
        <v>9.9885208568712223</v>
      </c>
      <c r="AB18">
        <f t="shared" ca="1" si="12"/>
        <v>9.9929547452509269</v>
      </c>
      <c r="AC18">
        <f t="shared" ca="1" si="12"/>
        <v>9.988411544364439</v>
      </c>
      <c r="AD18">
        <f t="shared" ca="1" si="12"/>
        <v>9.9904066282814643</v>
      </c>
      <c r="AE18">
        <f t="shared" ca="1" si="12"/>
        <v>9.9892250550157193</v>
      </c>
      <c r="AF18">
        <f t="shared" ca="1" si="12"/>
        <v>9.9903714579534135</v>
      </c>
      <c r="AG18">
        <f t="shared" ca="1" si="12"/>
        <v>9.9891813133121943</v>
      </c>
      <c r="AH18">
        <f t="shared" ca="1" si="12"/>
        <v>9.986733385630421</v>
      </c>
      <c r="AI18">
        <f t="shared" ca="1" si="12"/>
        <v>9.9893222189316582</v>
      </c>
      <c r="AJ18">
        <f t="shared" ca="1" si="12"/>
        <v>9.9900549588699157</v>
      </c>
      <c r="AK18">
        <f t="shared" ca="1" si="12"/>
        <v>9.9855403449620397</v>
      </c>
      <c r="AL18">
        <f t="shared" ca="1" si="12"/>
        <v>9.986346205798279</v>
      </c>
      <c r="AM18">
        <f t="shared" ca="1" si="12"/>
        <v>9.9891396445540348</v>
      </c>
      <c r="AN18">
        <f t="shared" ca="1" si="12"/>
        <v>9.9901201746386423</v>
      </c>
      <c r="AO18">
        <f t="shared" ca="1" si="12"/>
        <v>9.9911359407723328</v>
      </c>
      <c r="AP18">
        <f t="shared" ca="1" si="12"/>
        <v>9.9859279387974702</v>
      </c>
      <c r="AQ18">
        <f t="shared" ca="1" si="12"/>
        <v>9.9897110107262037</v>
      </c>
      <c r="AR18">
        <f t="shared" ca="1" si="12"/>
        <v>9.9861737106939135</v>
      </c>
      <c r="AS18">
        <f t="shared" ca="1" si="12"/>
        <v>9.9844070265636304</v>
      </c>
      <c r="AT18">
        <f t="shared" ca="1" si="12"/>
        <v>9.988834571751763</v>
      </c>
      <c r="AU18">
        <f t="shared" ca="1" si="12"/>
        <v>9.9919654517434751</v>
      </c>
      <c r="AV18">
        <f t="shared" ca="1" si="12"/>
        <v>9.9895187751842656</v>
      </c>
      <c r="AW18">
        <f t="shared" ca="1" si="12"/>
        <v>9.9922521850626538</v>
      </c>
      <c r="AX18">
        <f t="shared" ca="1" si="12"/>
        <v>9.9854306905264281</v>
      </c>
      <c r="AY18">
        <f t="shared" ca="1" si="12"/>
        <v>9.9860660022904728</v>
      </c>
      <c r="AZ18">
        <f t="shared" ca="1" si="12"/>
        <v>9.9888164696957258</v>
      </c>
      <c r="BA18">
        <f t="shared" ca="1" si="12"/>
        <v>9.9923684994425717</v>
      </c>
      <c r="BB18">
        <f t="shared" ca="1" si="12"/>
        <v>9.9882944701519278</v>
      </c>
      <c r="BC18">
        <f t="shared" ca="1" si="12"/>
        <v>9.9856550772309518</v>
      </c>
      <c r="BD18">
        <f t="shared" ca="1" si="12"/>
        <v>9.9900085259504436</v>
      </c>
      <c r="BE18">
        <f t="shared" ca="1" si="12"/>
        <v>9.9913190428700567</v>
      </c>
      <c r="BF18">
        <f t="shared" ca="1" si="12"/>
        <v>9.9880648192991863</v>
      </c>
      <c r="BG18">
        <f t="shared" ca="1" si="12"/>
        <v>9.98529518151825</v>
      </c>
      <c r="BH18">
        <f t="shared" ca="1" si="12"/>
        <v>9.9886221721953543</v>
      </c>
      <c r="BI18">
        <f t="shared" ca="1" si="12"/>
        <v>9.9906589750320762</v>
      </c>
      <c r="BJ18">
        <f t="shared" ca="1" si="12"/>
        <v>9.9934273752515157</v>
      </c>
      <c r="BK18">
        <f t="shared" ca="1" si="12"/>
        <v>9.9908435304593475</v>
      </c>
      <c r="BL18">
        <f t="shared" ca="1" si="12"/>
        <v>9.9850700529501619</v>
      </c>
      <c r="BM18">
        <f t="shared" ca="1" si="12"/>
        <v>9.9845152362779448</v>
      </c>
      <c r="BN18">
        <f t="shared" ca="1" si="12"/>
        <v>9.9901177831429671</v>
      </c>
      <c r="BO18">
        <f t="shared" ca="1" si="4"/>
        <v>9.9889184611732738</v>
      </c>
      <c r="BP18">
        <f t="shared" ca="1" si="4"/>
        <v>9.9894159117956765</v>
      </c>
      <c r="BQ18">
        <f t="shared" ca="1" si="4"/>
        <v>9.9890495059134548</v>
      </c>
      <c r="BR18">
        <f t="shared" ca="1" si="4"/>
        <v>9.9838502586970428</v>
      </c>
      <c r="BS18">
        <f t="shared" ca="1" si="4"/>
        <v>9.9878945394717054</v>
      </c>
      <c r="BT18">
        <f t="shared" ca="1" si="4"/>
        <v>9.9901519383866972</v>
      </c>
      <c r="BU18">
        <f t="shared" ca="1" si="4"/>
        <v>9.9884048890129904</v>
      </c>
      <c r="BV18">
        <f t="shared" ca="1" si="4"/>
        <v>9.9854556653467625</v>
      </c>
      <c r="BW18">
        <f t="shared" ca="1" si="4"/>
        <v>9.9892118063003643</v>
      </c>
      <c r="BX18">
        <f t="shared" ca="1" si="4"/>
        <v>9.9877808755588209</v>
      </c>
      <c r="BY18">
        <f t="shared" ca="1" si="4"/>
        <v>9.9856208518514258</v>
      </c>
      <c r="BZ18">
        <f t="shared" ca="1" si="4"/>
        <v>9.9912705923138301</v>
      </c>
      <c r="CA18">
        <f t="shared" ca="1" si="4"/>
        <v>9.9923821776478654</v>
      </c>
      <c r="CB18">
        <f t="shared" ca="1" si="4"/>
        <v>9.9949808866781122</v>
      </c>
      <c r="CC18">
        <f t="shared" ca="1" si="4"/>
        <v>9.9898112354678741</v>
      </c>
      <c r="CD18">
        <f t="shared" ca="1" si="4"/>
        <v>9.9862018516658466</v>
      </c>
      <c r="CE18">
        <f t="shared" ca="1" si="4"/>
        <v>9.9839142407524317</v>
      </c>
      <c r="CF18">
        <f t="shared" ca="1" si="4"/>
        <v>9.9907958099204492</v>
      </c>
      <c r="CG18">
        <f t="shared" ca="1" si="4"/>
        <v>9.9872876386054585</v>
      </c>
      <c r="CH18">
        <f t="shared" ca="1" si="4"/>
        <v>9.989232054234888</v>
      </c>
      <c r="CI18">
        <f t="shared" ca="1" si="4"/>
        <v>9.9898990702553938</v>
      </c>
      <c r="CJ18">
        <f t="shared" ca="1" si="4"/>
        <v>9.9850044708102192</v>
      </c>
      <c r="CK18">
        <f t="shared" ca="1" si="4"/>
        <v>9.9848317028877034</v>
      </c>
      <c r="CL18">
        <f t="shared" ca="1" si="4"/>
        <v>9.9906703270733459</v>
      </c>
      <c r="CM18">
        <f t="shared" ca="1" si="4"/>
        <v>9.9881425374067963</v>
      </c>
      <c r="CN18">
        <f t="shared" ca="1" si="4"/>
        <v>9.9891976587272282</v>
      </c>
      <c r="CO18">
        <f t="shared" ca="1" si="4"/>
        <v>9.9880946812042026</v>
      </c>
      <c r="CP18">
        <f t="shared" ca="1" si="4"/>
        <v>9.98959999493281</v>
      </c>
      <c r="CQ18">
        <f t="shared" ca="1" si="4"/>
        <v>9.985414145533106</v>
      </c>
      <c r="CR18">
        <f t="shared" ca="1" si="4"/>
        <v>9.9860674680998684</v>
      </c>
      <c r="CS18">
        <f t="shared" ca="1" si="4"/>
        <v>9.988733242308065</v>
      </c>
      <c r="CT18">
        <f t="shared" ca="1" si="4"/>
        <v>9.9883930806430214</v>
      </c>
      <c r="CU18">
        <f t="shared" ca="1" si="4"/>
        <v>9.987883921298403</v>
      </c>
      <c r="CV18">
        <f t="shared" ca="1" si="4"/>
        <v>9.9868670615547703</v>
      </c>
      <c r="CW18">
        <f t="shared" ca="1" si="4"/>
        <v>9.9852481014372891</v>
      </c>
      <c r="CX18">
        <f t="shared" ca="1" si="4"/>
        <v>9.9842686254170872</v>
      </c>
      <c r="CY18">
        <f t="shared" ca="1" si="4"/>
        <v>9.9870305682862366</v>
      </c>
      <c r="CZ18">
        <f t="shared" ca="1" si="4"/>
        <v>9.9893209211709433</v>
      </c>
      <c r="DA18">
        <f t="shared" ca="1" si="4"/>
        <v>9.9919290326721963</v>
      </c>
      <c r="DB18">
        <f t="shared" ca="1" si="4"/>
        <v>9.9860448249685909</v>
      </c>
      <c r="DC18">
        <f t="shared" ca="1" si="4"/>
        <v>9.9854496374903761</v>
      </c>
      <c r="DD18">
        <f t="shared" ca="1" si="4"/>
        <v>9.9902851947308982</v>
      </c>
      <c r="DE18">
        <f t="shared" ca="1" si="4"/>
        <v>9.986908541893877</v>
      </c>
      <c r="DF18">
        <f t="shared" ca="1" si="4"/>
        <v>9.9844753907179005</v>
      </c>
      <c r="DG18">
        <f t="shared" ca="1" si="4"/>
        <v>9.986484244737678</v>
      </c>
      <c r="DH18">
        <f t="shared" ca="1" si="4"/>
        <v>9.9856733060486729</v>
      </c>
      <c r="DI18">
        <f t="shared" ca="1" si="4"/>
        <v>9.9893972916470393</v>
      </c>
      <c r="DJ18">
        <f t="shared" ca="1" si="4"/>
        <v>9.9887468270183639</v>
      </c>
      <c r="DK18">
        <f t="shared" ca="1" si="4"/>
        <v>9.9872316695366994</v>
      </c>
      <c r="DL18">
        <f t="shared" ca="1" si="4"/>
        <v>9.9892904617500164</v>
      </c>
      <c r="DM18">
        <f t="shared" ca="1" si="4"/>
        <v>9.9861894511552549</v>
      </c>
      <c r="DN18">
        <f t="shared" ca="1" si="4"/>
        <v>9.9881934336311406</v>
      </c>
      <c r="DO18">
        <f t="shared" ca="1" si="4"/>
        <v>9.9875937227889313</v>
      </c>
      <c r="DP18">
        <f t="shared" ca="1" si="4"/>
        <v>9.9928193143419595</v>
      </c>
      <c r="DQ18">
        <f t="shared" ca="1" si="4"/>
        <v>9.9862304435451836</v>
      </c>
      <c r="DR18">
        <f t="shared" ca="1" si="4"/>
        <v>9.9887960230783737</v>
      </c>
      <c r="DS18">
        <f t="shared" ca="1" si="4"/>
        <v>9.9885711175733078</v>
      </c>
      <c r="DT18">
        <f t="shared" ca="1" si="4"/>
        <v>9.991713066714091</v>
      </c>
      <c r="DU18">
        <f t="shared" ca="1" si="4"/>
        <v>9.984987422201316</v>
      </c>
      <c r="DV18">
        <f t="shared" ca="1" si="4"/>
        <v>9.9865925856810431</v>
      </c>
      <c r="DW18">
        <f t="shared" ca="1" si="4"/>
        <v>9.9868397651260974</v>
      </c>
      <c r="DX18">
        <f t="shared" ca="1" si="4"/>
        <v>9.9828594935876769</v>
      </c>
      <c r="DY18">
        <f t="shared" ca="1" si="4"/>
        <v>9.9917416867819124</v>
      </c>
      <c r="DZ18">
        <f t="shared" ref="DZ18:GK22" ca="1" si="13">$B5*EXP(($I5-$J6-($H5^2)/2)*(1/52)+$H5*SQRT(1/52)*_xlfn.NORM.INV(RAND(),0,1))</f>
        <v>9.9820328640210452</v>
      </c>
      <c r="EA18">
        <f t="shared" ca="1" si="13"/>
        <v>9.987820966844227</v>
      </c>
      <c r="EB18">
        <f t="shared" ca="1" si="13"/>
        <v>9.990474180163698</v>
      </c>
      <c r="EC18">
        <f t="shared" ca="1" si="13"/>
        <v>9.9862839938004484</v>
      </c>
      <c r="ED18">
        <f t="shared" ca="1" si="13"/>
        <v>9.9865490798810654</v>
      </c>
      <c r="EE18">
        <f t="shared" ca="1" si="13"/>
        <v>9.9882075797533005</v>
      </c>
      <c r="EF18">
        <f t="shared" ca="1" si="13"/>
        <v>9.9880062011330288</v>
      </c>
      <c r="EG18">
        <f t="shared" ca="1" si="13"/>
        <v>9.9901197720792805</v>
      </c>
      <c r="EH18">
        <f t="shared" ca="1" si="13"/>
        <v>9.9887430695697645</v>
      </c>
      <c r="EI18">
        <f t="shared" ca="1" si="13"/>
        <v>9.9896448080938338</v>
      </c>
      <c r="EJ18">
        <f t="shared" ca="1" si="13"/>
        <v>9.98798747332971</v>
      </c>
      <c r="EK18">
        <f t="shared" ca="1" si="13"/>
        <v>9.9895779277081758</v>
      </c>
      <c r="EL18">
        <f t="shared" ca="1" si="13"/>
        <v>9.9871619600559374</v>
      </c>
      <c r="EM18">
        <f t="shared" ca="1" si="13"/>
        <v>9.987970916035886</v>
      </c>
      <c r="EN18">
        <f t="shared" ca="1" si="13"/>
        <v>9.9888570773558598</v>
      </c>
      <c r="EO18">
        <f t="shared" ca="1" si="13"/>
        <v>9.9851913472631022</v>
      </c>
      <c r="EP18">
        <f t="shared" ca="1" si="13"/>
        <v>9.9854355663397705</v>
      </c>
      <c r="EQ18">
        <f t="shared" ca="1" si="13"/>
        <v>9.9872514655576836</v>
      </c>
      <c r="ER18">
        <f t="shared" ca="1" si="13"/>
        <v>9.9839872532464504</v>
      </c>
      <c r="ES18">
        <f t="shared" ca="1" si="13"/>
        <v>9.9889376502703993</v>
      </c>
      <c r="ET18">
        <f t="shared" ca="1" si="13"/>
        <v>9.9883237494383632</v>
      </c>
      <c r="EU18">
        <f t="shared" ca="1" si="13"/>
        <v>9.9894732428097548</v>
      </c>
      <c r="EV18">
        <f t="shared" ca="1" si="13"/>
        <v>9.9902966804957689</v>
      </c>
      <c r="EW18">
        <f t="shared" ca="1" si="13"/>
        <v>9.9890955000505226</v>
      </c>
      <c r="EX18">
        <f t="shared" ca="1" si="13"/>
        <v>9.988383617428779</v>
      </c>
      <c r="EY18">
        <f t="shared" ca="1" si="13"/>
        <v>9.9868337626572607</v>
      </c>
      <c r="EZ18">
        <f t="shared" ca="1" si="13"/>
        <v>9.991511764841297</v>
      </c>
      <c r="FA18">
        <f t="shared" ca="1" si="13"/>
        <v>9.9896254530860169</v>
      </c>
      <c r="FB18">
        <f t="shared" ca="1" si="13"/>
        <v>9.9876953396405863</v>
      </c>
      <c r="FC18">
        <f t="shared" ca="1" si="13"/>
        <v>9.9870209847441878</v>
      </c>
      <c r="FD18">
        <f t="shared" ca="1" si="13"/>
        <v>9.9822948814987811</v>
      </c>
      <c r="FE18">
        <f t="shared" ca="1" si="13"/>
        <v>9.9891699540902241</v>
      </c>
      <c r="FF18">
        <f t="shared" ca="1" si="13"/>
        <v>9.9883838753966145</v>
      </c>
      <c r="FG18">
        <f t="shared" ca="1" si="13"/>
        <v>9.9842378268133931</v>
      </c>
      <c r="FH18">
        <f t="shared" ca="1" si="13"/>
        <v>9.9873211539566995</v>
      </c>
      <c r="FI18">
        <f t="shared" ca="1" si="13"/>
        <v>9.9924199966178069</v>
      </c>
      <c r="FJ18">
        <f t="shared" ca="1" si="13"/>
        <v>9.9874976211878614</v>
      </c>
      <c r="FK18">
        <f t="shared" ca="1" si="13"/>
        <v>9.9899690685855305</v>
      </c>
      <c r="FL18">
        <f t="shared" ca="1" si="13"/>
        <v>9.9847502781531929</v>
      </c>
      <c r="FM18">
        <f t="shared" ca="1" si="13"/>
        <v>9.9859728522468743</v>
      </c>
      <c r="FN18">
        <f t="shared" ca="1" si="13"/>
        <v>9.9888246119276545</v>
      </c>
      <c r="FO18">
        <f t="shared" ca="1" si="13"/>
        <v>9.9862940984933797</v>
      </c>
      <c r="FP18">
        <f t="shared" ca="1" si="13"/>
        <v>9.987251149904063</v>
      </c>
      <c r="FQ18">
        <f t="shared" ca="1" si="13"/>
        <v>9.9874295694337487</v>
      </c>
      <c r="FR18">
        <f t="shared" ca="1" si="13"/>
        <v>9.9855328119468307</v>
      </c>
      <c r="FS18">
        <f t="shared" ca="1" si="13"/>
        <v>9.9887601268578319</v>
      </c>
      <c r="FT18">
        <f t="shared" ca="1" si="13"/>
        <v>9.9867800259759889</v>
      </c>
      <c r="FU18">
        <f t="shared" ca="1" si="13"/>
        <v>9.9862357478663331</v>
      </c>
      <c r="FV18">
        <f t="shared" ca="1" si="13"/>
        <v>9.9853840889403518</v>
      </c>
      <c r="FW18">
        <f t="shared" ca="1" si="13"/>
        <v>9.9864538450792431</v>
      </c>
      <c r="FX18">
        <f t="shared" ca="1" si="13"/>
        <v>9.985992913361498</v>
      </c>
      <c r="FY18">
        <f t="shared" ca="1" si="13"/>
        <v>9.9858733062739713</v>
      </c>
      <c r="FZ18">
        <f t="shared" ca="1" si="13"/>
        <v>9.9868034236075562</v>
      </c>
      <c r="GA18">
        <f t="shared" ca="1" si="13"/>
        <v>9.9847313366720751</v>
      </c>
      <c r="GB18">
        <f t="shared" ca="1" si="13"/>
        <v>9.9907540800247201</v>
      </c>
      <c r="GC18">
        <f t="shared" ca="1" si="13"/>
        <v>9.9894966239004663</v>
      </c>
      <c r="GD18">
        <f t="shared" ca="1" si="13"/>
        <v>9.9858588345914452</v>
      </c>
      <c r="GE18">
        <f t="shared" ca="1" si="13"/>
        <v>9.9917419452473126</v>
      </c>
      <c r="GF18">
        <f t="shared" ca="1" si="13"/>
        <v>9.9884456890599047</v>
      </c>
      <c r="GG18">
        <f t="shared" ca="1" si="13"/>
        <v>9.9832871307539097</v>
      </c>
      <c r="GH18">
        <f t="shared" ca="1" si="13"/>
        <v>9.9877728657393448</v>
      </c>
      <c r="GI18">
        <f t="shared" ca="1" si="13"/>
        <v>9.987219389494248</v>
      </c>
      <c r="GJ18">
        <f t="shared" ca="1" si="13"/>
        <v>9.9898951273116072</v>
      </c>
      <c r="GK18">
        <f t="shared" ca="1" si="13"/>
        <v>9.9908279071027764</v>
      </c>
      <c r="GL18">
        <f t="shared" ca="1" si="5"/>
        <v>9.9902389925882815</v>
      </c>
      <c r="GM18">
        <f t="shared" ca="1" si="6"/>
        <v>9.9877680720529849</v>
      </c>
      <c r="GN18">
        <f t="shared" ca="1" si="6"/>
        <v>9.9897162079185762</v>
      </c>
      <c r="GO18">
        <f t="shared" ca="1" si="6"/>
        <v>9.9919211786602595</v>
      </c>
      <c r="GP18">
        <f t="shared" ca="1" si="6"/>
        <v>9.9903475439137033</v>
      </c>
      <c r="GQ18">
        <f t="shared" ca="1" si="6"/>
        <v>9.9921846415112228</v>
      </c>
      <c r="GR18">
        <f t="shared" ca="1" si="6"/>
        <v>9.9868848345376264</v>
      </c>
      <c r="GS18">
        <f t="shared" ca="1" si="6"/>
        <v>9.9873308154354081</v>
      </c>
      <c r="GT18">
        <f t="shared" ca="1" si="6"/>
        <v>9.9836962567434711</v>
      </c>
      <c r="GU18">
        <f t="shared" ca="1" si="6"/>
        <v>9.9865476332740339</v>
      </c>
      <c r="GV18">
        <f t="shared" ca="1" si="6"/>
        <v>9.9882971584553353</v>
      </c>
      <c r="GW18">
        <f t="shared" ca="1" si="6"/>
        <v>9.9870543657856707</v>
      </c>
      <c r="GX18">
        <f t="shared" ca="1" si="6"/>
        <v>9.9876735137013011</v>
      </c>
      <c r="GY18">
        <f t="shared" ca="1" si="6"/>
        <v>9.9853503607064713</v>
      </c>
      <c r="GZ18">
        <f t="shared" ca="1" si="6"/>
        <v>9.988924224452095</v>
      </c>
      <c r="HA18">
        <f t="shared" ca="1" si="6"/>
        <v>9.9882842177517066</v>
      </c>
      <c r="HB18">
        <f t="shared" ca="1" si="6"/>
        <v>9.9876005298764738</v>
      </c>
      <c r="HC18">
        <f t="shared" ca="1" si="6"/>
        <v>9.9930832412998605</v>
      </c>
      <c r="HD18">
        <f t="shared" ca="1" si="6"/>
        <v>9.9880735632897153</v>
      </c>
      <c r="HE18">
        <f t="shared" ca="1" si="6"/>
        <v>9.9887760790446141</v>
      </c>
      <c r="HF18">
        <f t="shared" ca="1" si="6"/>
        <v>9.991806215053348</v>
      </c>
      <c r="HG18">
        <f t="shared" ca="1" si="6"/>
        <v>9.9852751726943882</v>
      </c>
      <c r="HH18">
        <f t="shared" ca="1" si="6"/>
        <v>9.9900552241035001</v>
      </c>
      <c r="HI18">
        <f t="shared" ca="1" si="6"/>
        <v>9.9889387084673213</v>
      </c>
      <c r="HJ18">
        <f t="shared" ca="1" si="6"/>
        <v>9.9906232783814399</v>
      </c>
      <c r="HK18">
        <f t="shared" ca="1" si="6"/>
        <v>9.9892384356711794</v>
      </c>
      <c r="HL18">
        <f t="shared" ca="1" si="6"/>
        <v>9.993774000340423</v>
      </c>
      <c r="HM18">
        <f t="shared" ca="1" si="6"/>
        <v>9.9912549292977086</v>
      </c>
      <c r="HN18">
        <f t="shared" ca="1" si="6"/>
        <v>9.9894476486618515</v>
      </c>
      <c r="HO18">
        <f t="shared" ca="1" si="6"/>
        <v>9.9897984608343098</v>
      </c>
      <c r="HP18">
        <f t="shared" ca="1" si="6"/>
        <v>9.9889277862700894</v>
      </c>
      <c r="HQ18">
        <f t="shared" ca="1" si="6"/>
        <v>9.9916274882506375</v>
      </c>
      <c r="HR18">
        <f t="shared" ca="1" si="6"/>
        <v>9.9858979013129918</v>
      </c>
      <c r="HS18">
        <f t="shared" ca="1" si="6"/>
        <v>9.9897680352131761</v>
      </c>
      <c r="HT18">
        <f t="shared" ca="1" si="6"/>
        <v>9.9896372235437543</v>
      </c>
      <c r="HU18">
        <f t="shared" ca="1" si="6"/>
        <v>9.9868565620379037</v>
      </c>
      <c r="HV18">
        <f t="shared" ca="1" si="6"/>
        <v>9.9858285123777009</v>
      </c>
      <c r="HW18">
        <f t="shared" ca="1" si="6"/>
        <v>9.9879947150596244</v>
      </c>
      <c r="HX18">
        <f t="shared" ca="1" si="6"/>
        <v>9.9867458749253419</v>
      </c>
      <c r="HY18">
        <f t="shared" ca="1" si="6"/>
        <v>9.9876104031921447</v>
      </c>
      <c r="HZ18">
        <f t="shared" ca="1" si="6"/>
        <v>9.9900351507291631</v>
      </c>
      <c r="IA18">
        <f t="shared" ca="1" si="6"/>
        <v>9.9902864350061797</v>
      </c>
      <c r="IB18">
        <f t="shared" ca="1" si="6"/>
        <v>9.993693739207604</v>
      </c>
      <c r="IC18">
        <f t="shared" ca="1" si="6"/>
        <v>9.9854215321880684</v>
      </c>
      <c r="ID18">
        <f t="shared" ca="1" si="6"/>
        <v>9.9919665261424289</v>
      </c>
      <c r="IE18">
        <f t="shared" ca="1" si="6"/>
        <v>9.9843630880636667</v>
      </c>
      <c r="IF18">
        <f t="shared" ca="1" si="6"/>
        <v>9.98866695919655</v>
      </c>
      <c r="IG18">
        <f t="shared" ca="1" si="6"/>
        <v>9.9873010150144275</v>
      </c>
      <c r="IH18">
        <f t="shared" ca="1" si="6"/>
        <v>9.995393145546295</v>
      </c>
      <c r="II18">
        <f t="shared" ca="1" si="6"/>
        <v>9.9886642559033021</v>
      </c>
      <c r="IJ18">
        <f t="shared" ca="1" si="6"/>
        <v>9.9917761127468587</v>
      </c>
      <c r="IK18">
        <f t="shared" ca="1" si="6"/>
        <v>9.9854670464223396</v>
      </c>
      <c r="IL18">
        <f t="shared" ca="1" si="6"/>
        <v>9.9873896696408195</v>
      </c>
      <c r="IM18">
        <f t="shared" ca="1" si="6"/>
        <v>9.9875012532697713</v>
      </c>
      <c r="IN18">
        <f t="shared" ca="1" si="6"/>
        <v>9.9854114996577419</v>
      </c>
      <c r="IO18">
        <f t="shared" ca="1" si="6"/>
        <v>9.9892620407086294</v>
      </c>
      <c r="IP18">
        <f t="shared" ca="1" si="6"/>
        <v>9.9877814500989732</v>
      </c>
      <c r="IQ18">
        <f t="shared" ca="1" si="6"/>
        <v>9.9814418555372892</v>
      </c>
      <c r="IR18">
        <f t="shared" ca="1" si="6"/>
        <v>9.9882829562511315</v>
      </c>
      <c r="IS18">
        <f t="shared" ca="1" si="6"/>
        <v>9.9863579642930169</v>
      </c>
      <c r="IT18">
        <f t="shared" ca="1" si="6"/>
        <v>9.9851938492537542</v>
      </c>
      <c r="IU18">
        <f t="shared" ca="1" si="6"/>
        <v>9.9847541276156928</v>
      </c>
      <c r="IV18">
        <f t="shared" ca="1" si="6"/>
        <v>9.9860031463272527</v>
      </c>
      <c r="IW18">
        <f t="shared" ca="1" si="6"/>
        <v>9.9878179960395208</v>
      </c>
      <c r="IX18">
        <f t="shared" ref="IX18:LI22" ca="1" si="14">$B5*EXP(($I5-$J6-($H5^2)/2)*(1/52)+$H5*SQRT(1/52)*_xlfn.NORM.INV(RAND(),0,1))</f>
        <v>9.9893483969341759</v>
      </c>
      <c r="IY18">
        <f t="shared" ca="1" si="14"/>
        <v>9.9829035773567494</v>
      </c>
      <c r="IZ18">
        <f t="shared" ca="1" si="14"/>
        <v>9.9910281531394212</v>
      </c>
      <c r="JA18">
        <f t="shared" ca="1" si="14"/>
        <v>9.987249046025152</v>
      </c>
      <c r="JB18">
        <f t="shared" ca="1" si="14"/>
        <v>9.9899961277484604</v>
      </c>
      <c r="JC18">
        <f t="shared" ca="1" si="14"/>
        <v>9.9892006185047464</v>
      </c>
      <c r="JD18">
        <f t="shared" ca="1" si="14"/>
        <v>9.9853274711543563</v>
      </c>
      <c r="JE18">
        <f t="shared" ca="1" si="14"/>
        <v>9.9840602385056343</v>
      </c>
      <c r="JF18">
        <f t="shared" ca="1" si="14"/>
        <v>9.9857085374269019</v>
      </c>
      <c r="JG18">
        <f t="shared" ca="1" si="14"/>
        <v>9.9915587350981543</v>
      </c>
      <c r="JH18">
        <f t="shared" ca="1" si="14"/>
        <v>9.9885122250714993</v>
      </c>
      <c r="JI18">
        <f t="shared" ca="1" si="14"/>
        <v>9.9855476682515008</v>
      </c>
      <c r="JJ18">
        <f t="shared" ca="1" si="14"/>
        <v>9.9923350030739151</v>
      </c>
      <c r="JK18">
        <f t="shared" ca="1" si="14"/>
        <v>9.9834950205203139</v>
      </c>
      <c r="JL18">
        <f t="shared" ca="1" si="14"/>
        <v>9.9867022104201109</v>
      </c>
      <c r="JM18">
        <f t="shared" ca="1" si="14"/>
        <v>9.9843594594135272</v>
      </c>
      <c r="JN18">
        <f t="shared" ca="1" si="14"/>
        <v>9.9921847159785528</v>
      </c>
      <c r="JO18">
        <f t="shared" ca="1" si="14"/>
        <v>9.983710780954457</v>
      </c>
      <c r="JP18">
        <f t="shared" ca="1" si="14"/>
        <v>9.9902694113762376</v>
      </c>
      <c r="JQ18">
        <f t="shared" ca="1" si="14"/>
        <v>9.9915393677803408</v>
      </c>
      <c r="JR18">
        <f t="shared" ca="1" si="14"/>
        <v>9.9899931613893376</v>
      </c>
      <c r="JS18">
        <f t="shared" ca="1" si="14"/>
        <v>9.9833868664756427</v>
      </c>
      <c r="JT18">
        <f t="shared" ca="1" si="14"/>
        <v>9.9872930521023697</v>
      </c>
      <c r="JU18">
        <f t="shared" ca="1" si="14"/>
        <v>9.9869376581184603</v>
      </c>
      <c r="JV18">
        <f t="shared" ca="1" si="14"/>
        <v>9.9905460517381233</v>
      </c>
      <c r="JW18">
        <f t="shared" ca="1" si="14"/>
        <v>9.9834593833272418</v>
      </c>
      <c r="JX18">
        <f t="shared" ca="1" si="14"/>
        <v>9.9828351458117517</v>
      </c>
      <c r="JY18">
        <f t="shared" ca="1" si="14"/>
        <v>9.9850479710588722</v>
      </c>
      <c r="JZ18">
        <f t="shared" ca="1" si="14"/>
        <v>9.9883288397586885</v>
      </c>
      <c r="KA18">
        <f t="shared" ca="1" si="14"/>
        <v>9.9898273288383521</v>
      </c>
      <c r="KB18">
        <f t="shared" ca="1" si="14"/>
        <v>9.9873627706025037</v>
      </c>
      <c r="KC18">
        <f t="shared" ca="1" si="14"/>
        <v>9.9865365278891005</v>
      </c>
      <c r="KD18">
        <f t="shared" ca="1" si="14"/>
        <v>9.985079562049453</v>
      </c>
      <c r="KE18">
        <f t="shared" ca="1" si="14"/>
        <v>9.9887487140072668</v>
      </c>
      <c r="KF18">
        <f t="shared" ca="1" si="14"/>
        <v>9.9938903125329421</v>
      </c>
      <c r="KG18">
        <f t="shared" ca="1" si="14"/>
        <v>9.9876711971891314</v>
      </c>
      <c r="KH18">
        <f t="shared" ca="1" si="14"/>
        <v>9.9885688278950724</v>
      </c>
      <c r="KI18">
        <f t="shared" ca="1" si="14"/>
        <v>9.9859899990799192</v>
      </c>
      <c r="KJ18">
        <f t="shared" ca="1" si="14"/>
        <v>9.9870344958487216</v>
      </c>
      <c r="KK18">
        <f t="shared" ca="1" si="14"/>
        <v>9.9856349392416579</v>
      </c>
      <c r="KL18">
        <f t="shared" ca="1" si="14"/>
        <v>9.9921536622740206</v>
      </c>
      <c r="KM18">
        <f t="shared" ca="1" si="14"/>
        <v>9.9895207231531398</v>
      </c>
      <c r="KN18">
        <f t="shared" ca="1" si="14"/>
        <v>9.985171187644486</v>
      </c>
      <c r="KO18">
        <f t="shared" ca="1" si="14"/>
        <v>9.9852231359768275</v>
      </c>
      <c r="KP18">
        <f t="shared" ca="1" si="14"/>
        <v>9.98785245055128</v>
      </c>
      <c r="KQ18">
        <f t="shared" ca="1" si="14"/>
        <v>9.9869605375391259</v>
      </c>
      <c r="KR18">
        <f t="shared" ca="1" si="14"/>
        <v>9.9919614652147928</v>
      </c>
      <c r="KS18">
        <f t="shared" ca="1" si="14"/>
        <v>9.9900602158212948</v>
      </c>
      <c r="KT18">
        <f t="shared" ca="1" si="14"/>
        <v>9.9902295276102517</v>
      </c>
      <c r="KU18">
        <f t="shared" ca="1" si="14"/>
        <v>9.9928488598610503</v>
      </c>
      <c r="KV18">
        <f t="shared" ca="1" si="14"/>
        <v>9.9869329282154666</v>
      </c>
      <c r="KW18">
        <f t="shared" ca="1" si="14"/>
        <v>9.9885808047308391</v>
      </c>
      <c r="KX18">
        <f t="shared" ca="1" si="14"/>
        <v>9.985414390213986</v>
      </c>
      <c r="KY18">
        <f t="shared" ca="1" si="14"/>
        <v>9.9869405861149811</v>
      </c>
      <c r="KZ18">
        <f t="shared" ca="1" si="14"/>
        <v>9.9878201933204327</v>
      </c>
      <c r="LA18">
        <f t="shared" ca="1" si="14"/>
        <v>9.9857487303708616</v>
      </c>
      <c r="LB18">
        <f t="shared" ca="1" si="14"/>
        <v>9.9897085291694374</v>
      </c>
      <c r="LC18">
        <f t="shared" ca="1" si="14"/>
        <v>9.9892605697920018</v>
      </c>
      <c r="LD18">
        <f t="shared" ca="1" si="14"/>
        <v>9.9897452865567153</v>
      </c>
      <c r="LE18">
        <f t="shared" ca="1" si="14"/>
        <v>9.9903754836262948</v>
      </c>
      <c r="LF18">
        <f t="shared" ca="1" si="14"/>
        <v>9.9873220531654976</v>
      </c>
      <c r="LG18">
        <f t="shared" ca="1" si="14"/>
        <v>9.9856461792071016</v>
      </c>
      <c r="LH18">
        <f t="shared" ca="1" si="14"/>
        <v>9.9914975921656168</v>
      </c>
      <c r="LI18">
        <f t="shared" ca="1" si="14"/>
        <v>9.9878039876003726</v>
      </c>
      <c r="LJ18">
        <f t="shared" ca="1" si="7"/>
        <v>9.9854834571491402</v>
      </c>
      <c r="LK18">
        <f t="shared" ca="1" si="8"/>
        <v>9.9870457184654029</v>
      </c>
      <c r="LL18">
        <f t="shared" ca="1" si="8"/>
        <v>9.9835509715546635</v>
      </c>
      <c r="LM18">
        <f t="shared" ca="1" si="8"/>
        <v>9.9882000783644322</v>
      </c>
      <c r="LN18">
        <f t="shared" ca="1" si="8"/>
        <v>9.9929402374174305</v>
      </c>
      <c r="LO18">
        <f t="shared" ca="1" si="8"/>
        <v>9.9914897665258326</v>
      </c>
      <c r="LP18">
        <f t="shared" ca="1" si="8"/>
        <v>9.9937295112715869</v>
      </c>
      <c r="LQ18">
        <f t="shared" ca="1" si="8"/>
        <v>9.9894894579200226</v>
      </c>
      <c r="LR18">
        <f t="shared" ca="1" si="8"/>
        <v>9.9857744344279578</v>
      </c>
      <c r="LS18">
        <f t="shared" ca="1" si="8"/>
        <v>9.9928734333620977</v>
      </c>
      <c r="LT18">
        <f t="shared" ca="1" si="8"/>
        <v>9.9856732155950905</v>
      </c>
      <c r="LU18">
        <f t="shared" ca="1" si="8"/>
        <v>9.9919944055717274</v>
      </c>
      <c r="LV18">
        <f t="shared" ca="1" si="8"/>
        <v>9.9886689694814947</v>
      </c>
      <c r="LW18">
        <f t="shared" ca="1" si="8"/>
        <v>9.9900393049159373</v>
      </c>
      <c r="LX18">
        <f t="shared" ca="1" si="8"/>
        <v>9.9928556351237177</v>
      </c>
      <c r="LY18">
        <f t="shared" ca="1" si="8"/>
        <v>9.9860054668113847</v>
      </c>
      <c r="LZ18">
        <f t="shared" ca="1" si="8"/>
        <v>9.9880080721108051</v>
      </c>
      <c r="MA18">
        <f t="shared" ca="1" si="8"/>
        <v>9.9868132911985406</v>
      </c>
      <c r="MB18">
        <f t="shared" ca="1" si="8"/>
        <v>9.9845592040462687</v>
      </c>
      <c r="MC18">
        <f t="shared" ca="1" si="8"/>
        <v>9.9934391496612545</v>
      </c>
      <c r="MD18">
        <f t="shared" ca="1" si="8"/>
        <v>9.9936421936103219</v>
      </c>
      <c r="ME18">
        <f t="shared" ca="1" si="8"/>
        <v>9.9892891347077146</v>
      </c>
      <c r="MF18">
        <f t="shared" ca="1" si="8"/>
        <v>9.9862154190886248</v>
      </c>
      <c r="MG18">
        <f t="shared" ca="1" si="8"/>
        <v>9.9906535972687021</v>
      </c>
      <c r="MH18">
        <f t="shared" ca="1" si="8"/>
        <v>9.9840107033758922</v>
      </c>
      <c r="MI18">
        <f t="shared" ca="1" si="8"/>
        <v>9.9906522035060696</v>
      </c>
      <c r="MJ18">
        <f t="shared" ca="1" si="8"/>
        <v>9.9865741992650126</v>
      </c>
      <c r="MK18">
        <f t="shared" ca="1" si="8"/>
        <v>9.9880840667509503</v>
      </c>
      <c r="ML18">
        <f t="shared" ca="1" si="8"/>
        <v>9.9907452044271459</v>
      </c>
      <c r="MM18">
        <f t="shared" ca="1" si="8"/>
        <v>9.9942752569259259</v>
      </c>
      <c r="MN18">
        <f t="shared" ca="1" si="8"/>
        <v>9.9885100650550935</v>
      </c>
      <c r="MO18">
        <f t="shared" ca="1" si="8"/>
        <v>9.9874501082609193</v>
      </c>
      <c r="MP18">
        <f t="shared" ca="1" si="8"/>
        <v>9.9857215912996153</v>
      </c>
      <c r="MQ18">
        <f t="shared" ca="1" si="8"/>
        <v>9.9912666169634186</v>
      </c>
      <c r="MR18">
        <f t="shared" ca="1" si="8"/>
        <v>9.9867398840136712</v>
      </c>
      <c r="MS18">
        <f t="shared" ca="1" si="8"/>
        <v>9.9882631878373083</v>
      </c>
      <c r="MT18">
        <f t="shared" ca="1" si="8"/>
        <v>9.98828369929881</v>
      </c>
      <c r="MU18">
        <f t="shared" ca="1" si="8"/>
        <v>9.9897336963002736</v>
      </c>
      <c r="MV18">
        <f t="shared" ca="1" si="8"/>
        <v>9.9889449769944942</v>
      </c>
      <c r="MW18">
        <f t="shared" ca="1" si="8"/>
        <v>9.9919035111149093</v>
      </c>
      <c r="MX18">
        <f t="shared" ca="1" si="8"/>
        <v>9.989187407336118</v>
      </c>
      <c r="MY18">
        <f t="shared" ca="1" si="8"/>
        <v>9.9937663328003232</v>
      </c>
      <c r="MZ18">
        <f t="shared" ca="1" si="8"/>
        <v>9.9936704967182486</v>
      </c>
      <c r="NA18">
        <f t="shared" ca="1" si="8"/>
        <v>9.9929826780994944</v>
      </c>
      <c r="NB18">
        <f t="shared" ca="1" si="8"/>
        <v>9.9901330525188303</v>
      </c>
      <c r="NC18">
        <f t="shared" ca="1" si="8"/>
        <v>9.9879117924130973</v>
      </c>
      <c r="ND18">
        <f t="shared" ca="1" si="8"/>
        <v>9.9881349626623575</v>
      </c>
      <c r="NE18">
        <f t="shared" ca="1" si="8"/>
        <v>9.9929354755255524</v>
      </c>
      <c r="NF18">
        <f t="shared" ca="1" si="8"/>
        <v>9.9868908286962803</v>
      </c>
      <c r="NG18">
        <f t="shared" ca="1" si="8"/>
        <v>9.987312733283833</v>
      </c>
      <c r="NH18">
        <f t="shared" ca="1" si="8"/>
        <v>9.98635275577948</v>
      </c>
      <c r="NI18">
        <f t="shared" ca="1" si="8"/>
        <v>9.9913399667987548</v>
      </c>
      <c r="NJ18">
        <f t="shared" ca="1" si="8"/>
        <v>9.9889579205089269</v>
      </c>
      <c r="NK18">
        <f t="shared" ca="1" si="8"/>
        <v>9.9922334784010918</v>
      </c>
      <c r="NL18">
        <f t="shared" ca="1" si="8"/>
        <v>9.9918566581686523</v>
      </c>
      <c r="NM18">
        <f t="shared" ca="1" si="8"/>
        <v>9.9902597380011251</v>
      </c>
      <c r="NN18">
        <f t="shared" ca="1" si="8"/>
        <v>9.9882506684603545</v>
      </c>
      <c r="NO18">
        <f t="shared" ca="1" si="8"/>
        <v>9.9827995934425786</v>
      </c>
      <c r="NP18">
        <f t="shared" ca="1" si="8"/>
        <v>9.9832039872492206</v>
      </c>
      <c r="NQ18">
        <f t="shared" ca="1" si="8"/>
        <v>9.9870030751199561</v>
      </c>
      <c r="NR18">
        <f t="shared" ca="1" si="8"/>
        <v>9.9912627593767418</v>
      </c>
      <c r="NS18">
        <f t="shared" ca="1" si="8"/>
        <v>9.9886984562884145</v>
      </c>
      <c r="NT18">
        <f t="shared" ca="1" si="8"/>
        <v>9.9871048199534016</v>
      </c>
      <c r="NU18">
        <f t="shared" ca="1" si="8"/>
        <v>9.9867980181162963</v>
      </c>
      <c r="NV18">
        <f t="shared" ref="NV18:QG22" ca="1" si="15">$B5*EXP(($I5-$J6-($H5^2)/2)*(1/52)+$H5*SQRT(1/52)*_xlfn.NORM.INV(RAND(),0,1))</f>
        <v>9.9868322079374714</v>
      </c>
      <c r="NW18">
        <f t="shared" ca="1" si="15"/>
        <v>9.9878965686197017</v>
      </c>
      <c r="NX18">
        <f t="shared" ca="1" si="15"/>
        <v>9.9864582819915348</v>
      </c>
      <c r="NY18">
        <f t="shared" ca="1" si="15"/>
        <v>9.987371563768491</v>
      </c>
      <c r="NZ18">
        <f t="shared" ca="1" si="15"/>
        <v>9.9868451284951405</v>
      </c>
      <c r="OA18">
        <f t="shared" ca="1" si="15"/>
        <v>9.9892117874947868</v>
      </c>
      <c r="OB18">
        <f t="shared" ca="1" si="15"/>
        <v>9.9880539978551131</v>
      </c>
      <c r="OC18">
        <f t="shared" ca="1" si="15"/>
        <v>9.9871273776325697</v>
      </c>
      <c r="OD18">
        <f t="shared" ca="1" si="15"/>
        <v>9.9882243440224112</v>
      </c>
      <c r="OE18">
        <f t="shared" ca="1" si="15"/>
        <v>9.9861909190249083</v>
      </c>
      <c r="OF18">
        <f t="shared" ca="1" si="15"/>
        <v>9.9861429108629114</v>
      </c>
      <c r="OG18">
        <f t="shared" ca="1" si="15"/>
        <v>9.9915504608638521</v>
      </c>
      <c r="OH18">
        <f t="shared" ca="1" si="15"/>
        <v>9.9872007474634081</v>
      </c>
      <c r="OI18">
        <f t="shared" ca="1" si="15"/>
        <v>9.9912180982768426</v>
      </c>
      <c r="OJ18">
        <f t="shared" ca="1" si="15"/>
        <v>9.9869192207186064</v>
      </c>
      <c r="OK18">
        <f t="shared" ca="1" si="15"/>
        <v>9.984891624111615</v>
      </c>
      <c r="OL18">
        <f t="shared" ca="1" si="15"/>
        <v>9.9869732086337457</v>
      </c>
      <c r="OM18">
        <f t="shared" ca="1" si="15"/>
        <v>9.9901804052983891</v>
      </c>
      <c r="ON18">
        <f t="shared" ca="1" si="15"/>
        <v>9.9852775710674919</v>
      </c>
      <c r="OO18">
        <f t="shared" ca="1" si="15"/>
        <v>9.9925955705809262</v>
      </c>
      <c r="OP18">
        <f t="shared" ca="1" si="15"/>
        <v>9.9902724606037214</v>
      </c>
      <c r="OQ18">
        <f t="shared" ca="1" si="15"/>
        <v>9.9850482443426269</v>
      </c>
      <c r="OR18">
        <f t="shared" ca="1" si="15"/>
        <v>9.9872566864420094</v>
      </c>
      <c r="OS18">
        <f t="shared" ca="1" si="15"/>
        <v>9.9894587460281912</v>
      </c>
      <c r="OT18">
        <f t="shared" ca="1" si="15"/>
        <v>9.9879313726105536</v>
      </c>
      <c r="OU18">
        <f t="shared" ca="1" si="15"/>
        <v>9.9886956284221142</v>
      </c>
      <c r="OV18">
        <f t="shared" ca="1" si="15"/>
        <v>9.9886082225788364</v>
      </c>
      <c r="OW18">
        <f t="shared" ca="1" si="15"/>
        <v>9.9880566788850338</v>
      </c>
      <c r="OX18">
        <f t="shared" ca="1" si="15"/>
        <v>9.9882562386335234</v>
      </c>
      <c r="OY18">
        <f t="shared" ca="1" si="15"/>
        <v>9.9918753976434402</v>
      </c>
      <c r="OZ18">
        <f t="shared" ca="1" si="15"/>
        <v>9.9850218471330034</v>
      </c>
      <c r="PA18">
        <f t="shared" ca="1" si="15"/>
        <v>9.9829040185247564</v>
      </c>
      <c r="PB18">
        <f t="shared" ca="1" si="15"/>
        <v>9.9889428044374764</v>
      </c>
      <c r="PC18">
        <f t="shared" ca="1" si="15"/>
        <v>9.9863626629656128</v>
      </c>
      <c r="PD18">
        <f t="shared" ca="1" si="15"/>
        <v>9.9887308011255733</v>
      </c>
      <c r="PE18">
        <f t="shared" ca="1" si="15"/>
        <v>9.9888063133086753</v>
      </c>
      <c r="PF18">
        <f t="shared" ca="1" si="15"/>
        <v>9.9839941384293009</v>
      </c>
      <c r="PG18">
        <f t="shared" ca="1" si="15"/>
        <v>9.9869165118990146</v>
      </c>
      <c r="PH18">
        <f t="shared" ca="1" si="15"/>
        <v>9.9864910891370844</v>
      </c>
      <c r="PI18">
        <f t="shared" ca="1" si="15"/>
        <v>9.9827200958810174</v>
      </c>
      <c r="PJ18">
        <f t="shared" ca="1" si="15"/>
        <v>9.9903824113010096</v>
      </c>
      <c r="PK18">
        <f t="shared" ca="1" si="15"/>
        <v>9.987579257363743</v>
      </c>
      <c r="PL18">
        <f t="shared" ca="1" si="15"/>
        <v>9.9886507416643386</v>
      </c>
      <c r="PM18">
        <f t="shared" ca="1" si="15"/>
        <v>9.9868465436265144</v>
      </c>
      <c r="PN18">
        <f t="shared" ca="1" si="15"/>
        <v>9.9904913667186328</v>
      </c>
      <c r="PO18">
        <f t="shared" ca="1" si="15"/>
        <v>9.9854120035356715</v>
      </c>
      <c r="PP18">
        <f t="shared" ca="1" si="15"/>
        <v>9.9834446695168868</v>
      </c>
      <c r="PQ18">
        <f t="shared" ca="1" si="15"/>
        <v>9.9895493342286734</v>
      </c>
      <c r="PR18">
        <f t="shared" ca="1" si="15"/>
        <v>9.9880493451097578</v>
      </c>
      <c r="PS18">
        <f t="shared" ca="1" si="15"/>
        <v>9.9897185182522588</v>
      </c>
      <c r="PT18">
        <f t="shared" ca="1" si="15"/>
        <v>9.9854758789460547</v>
      </c>
      <c r="PU18">
        <f t="shared" ca="1" si="15"/>
        <v>9.9832054674130326</v>
      </c>
      <c r="PV18">
        <f t="shared" ca="1" si="15"/>
        <v>9.9864990503694901</v>
      </c>
      <c r="PW18">
        <f t="shared" ca="1" si="15"/>
        <v>9.984171111717524</v>
      </c>
      <c r="PX18">
        <f t="shared" ca="1" si="15"/>
        <v>9.9938452438988143</v>
      </c>
      <c r="PY18">
        <f t="shared" ca="1" si="15"/>
        <v>9.9841976299839104</v>
      </c>
      <c r="PZ18">
        <f t="shared" ca="1" si="15"/>
        <v>9.9857213458848157</v>
      </c>
      <c r="QA18">
        <f t="shared" ca="1" si="15"/>
        <v>9.99215976814369</v>
      </c>
      <c r="QB18">
        <f t="shared" ca="1" si="15"/>
        <v>9.9911575791001646</v>
      </c>
      <c r="QC18">
        <f t="shared" ca="1" si="15"/>
        <v>9.9899328131670515</v>
      </c>
      <c r="QD18">
        <f t="shared" ca="1" si="15"/>
        <v>9.9863362021693867</v>
      </c>
      <c r="QE18">
        <f t="shared" ca="1" si="15"/>
        <v>9.979150977057321</v>
      </c>
      <c r="QF18">
        <f t="shared" ca="1" si="15"/>
        <v>9.9826825995267772</v>
      </c>
      <c r="QG18">
        <f t="shared" ca="1" si="15"/>
        <v>9.9903971419855271</v>
      </c>
      <c r="QH18">
        <f t="shared" ca="1" si="9"/>
        <v>9.9891380944021204</v>
      </c>
      <c r="QI18">
        <f t="shared" ca="1" si="10"/>
        <v>9.9854360873824728</v>
      </c>
      <c r="QJ18">
        <f t="shared" ca="1" si="10"/>
        <v>9.9880059933586409</v>
      </c>
      <c r="QK18">
        <f t="shared" ca="1" si="10"/>
        <v>9.9834752062518319</v>
      </c>
      <c r="QL18">
        <f t="shared" ca="1" si="10"/>
        <v>9.9846079420128788</v>
      </c>
      <c r="QM18">
        <f t="shared" ca="1" si="10"/>
        <v>9.98785798055291</v>
      </c>
      <c r="QN18">
        <f t="shared" ca="1" si="10"/>
        <v>9.9864540803583992</v>
      </c>
      <c r="QO18">
        <f t="shared" ca="1" si="10"/>
        <v>9.9860953624314028</v>
      </c>
      <c r="QP18">
        <f t="shared" ca="1" si="10"/>
        <v>9.9868353923067392</v>
      </c>
      <c r="QQ18">
        <f t="shared" ca="1" si="10"/>
        <v>9.9914683508008046</v>
      </c>
      <c r="QR18">
        <f t="shared" ca="1" si="10"/>
        <v>9.9860792023928973</v>
      </c>
      <c r="QS18">
        <f t="shared" ca="1" si="10"/>
        <v>9.9850114691724094</v>
      </c>
      <c r="QT18">
        <f t="shared" ca="1" si="10"/>
        <v>9.9879377454740457</v>
      </c>
      <c r="QU18">
        <f t="shared" ca="1" si="10"/>
        <v>9.9873565699771678</v>
      </c>
      <c r="QV18">
        <f t="shared" ca="1" si="10"/>
        <v>9.9895586635897438</v>
      </c>
      <c r="QW18">
        <f t="shared" ca="1" si="10"/>
        <v>9.9919931904325292</v>
      </c>
      <c r="QX18">
        <f t="shared" ca="1" si="10"/>
        <v>9.9873521078007705</v>
      </c>
      <c r="QY18">
        <f t="shared" ca="1" si="10"/>
        <v>9.9858337368403287</v>
      </c>
      <c r="QZ18">
        <f t="shared" ca="1" si="10"/>
        <v>9.9862779958913777</v>
      </c>
      <c r="RA18">
        <f t="shared" ca="1" si="10"/>
        <v>9.9866750904707882</v>
      </c>
      <c r="RB18">
        <f t="shared" ca="1" si="10"/>
        <v>9.9893311303132002</v>
      </c>
      <c r="RC18">
        <f t="shared" ca="1" si="10"/>
        <v>9.9867988120161737</v>
      </c>
      <c r="RD18">
        <f t="shared" ca="1" si="10"/>
        <v>9.9882481602703557</v>
      </c>
      <c r="RE18">
        <f t="shared" ca="1" si="10"/>
        <v>9.9822135804449061</v>
      </c>
      <c r="RF18">
        <f t="shared" ca="1" si="10"/>
        <v>9.9872249481429378</v>
      </c>
      <c r="RG18">
        <f t="shared" ca="1" si="10"/>
        <v>9.9878982266136092</v>
      </c>
      <c r="RH18">
        <f t="shared" ca="1" si="10"/>
        <v>9.9924982634673594</v>
      </c>
      <c r="RI18">
        <f t="shared" ca="1" si="10"/>
        <v>9.9884599103500662</v>
      </c>
      <c r="RJ18">
        <f t="shared" ca="1" si="10"/>
        <v>9.9885815861387393</v>
      </c>
      <c r="RK18">
        <f t="shared" ca="1" si="10"/>
        <v>9.9878024699711219</v>
      </c>
      <c r="RL18">
        <f t="shared" ca="1" si="10"/>
        <v>9.9804379532530945</v>
      </c>
      <c r="RM18">
        <f t="shared" ca="1" si="10"/>
        <v>9.9869385354896441</v>
      </c>
      <c r="RN18">
        <f t="shared" ca="1" si="10"/>
        <v>9.9924965311533338</v>
      </c>
      <c r="RO18">
        <f t="shared" ca="1" si="10"/>
        <v>9.9927393534560629</v>
      </c>
      <c r="RP18">
        <f t="shared" ca="1" si="10"/>
        <v>9.9881537675583623</v>
      </c>
      <c r="RQ18">
        <f t="shared" ca="1" si="10"/>
        <v>9.9912362707317683</v>
      </c>
      <c r="RR18">
        <f t="shared" ca="1" si="10"/>
        <v>9.9839457602326913</v>
      </c>
      <c r="RS18">
        <f t="shared" ca="1" si="10"/>
        <v>9.9864197669790329</v>
      </c>
      <c r="RT18">
        <f t="shared" ca="1" si="10"/>
        <v>9.982011099374688</v>
      </c>
      <c r="RU18">
        <f t="shared" ca="1" si="10"/>
        <v>9.9916430845863502</v>
      </c>
      <c r="RV18">
        <f t="shared" ca="1" si="10"/>
        <v>9.9914134826606791</v>
      </c>
      <c r="RW18">
        <f t="shared" ca="1" si="10"/>
        <v>9.9870756854853102</v>
      </c>
      <c r="RX18">
        <f t="shared" ca="1" si="10"/>
        <v>9.9891766097191841</v>
      </c>
      <c r="RY18">
        <f t="shared" ca="1" si="10"/>
        <v>9.9897142553460103</v>
      </c>
      <c r="RZ18">
        <f t="shared" ca="1" si="10"/>
        <v>9.986164250932779</v>
      </c>
      <c r="SA18">
        <f t="shared" ca="1" si="10"/>
        <v>9.9880815825838862</v>
      </c>
      <c r="SB18">
        <f t="shared" ca="1" si="10"/>
        <v>9.9873693479789925</v>
      </c>
      <c r="SC18">
        <f t="shared" ca="1" si="10"/>
        <v>9.9896766932460572</v>
      </c>
      <c r="SD18">
        <f t="shared" ca="1" si="10"/>
        <v>9.9904744742054223</v>
      </c>
      <c r="SE18">
        <f t="shared" ca="1" si="10"/>
        <v>9.9914994876338952</v>
      </c>
      <c r="SF18">
        <f t="shared" ca="1" si="10"/>
        <v>9.9841107944157788</v>
      </c>
      <c r="SG18">
        <f t="shared" ca="1" si="10"/>
        <v>9.9868679285131972</v>
      </c>
    </row>
    <row r="19" spans="1:501" x14ac:dyDescent="0.3">
      <c r="A19" s="1">
        <v>46001</v>
      </c>
      <c r="B19">
        <f t="shared" ca="1" si="11"/>
        <v>9.9363301107310118</v>
      </c>
      <c r="C19">
        <f t="shared" ca="1" si="12"/>
        <v>9.9409645302790661</v>
      </c>
      <c r="D19">
        <f t="shared" ca="1" si="12"/>
        <v>9.9392525911828322</v>
      </c>
      <c r="E19">
        <f t="shared" ca="1" si="12"/>
        <v>9.9393571536986336</v>
      </c>
      <c r="F19">
        <f t="shared" ca="1" si="12"/>
        <v>9.9348276927827417</v>
      </c>
      <c r="G19">
        <f t="shared" ca="1" si="12"/>
        <v>9.9326899216296312</v>
      </c>
      <c r="H19">
        <f t="shared" ca="1" si="12"/>
        <v>9.9413563794959181</v>
      </c>
      <c r="I19">
        <f t="shared" ca="1" si="12"/>
        <v>9.9365978887224262</v>
      </c>
      <c r="J19">
        <f t="shared" ca="1" si="12"/>
        <v>9.9379040673447037</v>
      </c>
      <c r="K19">
        <f t="shared" ca="1" si="12"/>
        <v>9.9346616834043626</v>
      </c>
      <c r="L19">
        <f t="shared" ca="1" si="12"/>
        <v>9.933058508800876</v>
      </c>
      <c r="M19">
        <f t="shared" ca="1" si="12"/>
        <v>9.9374322366676466</v>
      </c>
      <c r="N19">
        <f t="shared" ca="1" si="12"/>
        <v>9.9358565782677069</v>
      </c>
      <c r="O19">
        <f t="shared" ca="1" si="12"/>
        <v>9.9391199112240667</v>
      </c>
      <c r="P19">
        <f t="shared" ca="1" si="12"/>
        <v>9.9396210387501984</v>
      </c>
      <c r="Q19">
        <f t="shared" ca="1" si="12"/>
        <v>9.9397112597486785</v>
      </c>
      <c r="R19">
        <f t="shared" ca="1" si="12"/>
        <v>9.9369178173837138</v>
      </c>
      <c r="S19">
        <f t="shared" ca="1" si="12"/>
        <v>9.9361729370448639</v>
      </c>
      <c r="T19">
        <f t="shared" ca="1" si="12"/>
        <v>9.9376214240185252</v>
      </c>
      <c r="U19">
        <f t="shared" ca="1" si="12"/>
        <v>9.9370548183182734</v>
      </c>
      <c r="V19">
        <f t="shared" ca="1" si="12"/>
        <v>9.9366569296088514</v>
      </c>
      <c r="W19">
        <f t="shared" ca="1" si="12"/>
        <v>9.9384749208770025</v>
      </c>
      <c r="X19">
        <f t="shared" ca="1" si="12"/>
        <v>9.9412525231173792</v>
      </c>
      <c r="Y19">
        <f t="shared" ca="1" si="12"/>
        <v>9.9389088215906263</v>
      </c>
      <c r="Z19">
        <f t="shared" ca="1" si="12"/>
        <v>9.9371006090420746</v>
      </c>
      <c r="AA19">
        <f t="shared" ca="1" si="12"/>
        <v>9.9383164704080311</v>
      </c>
      <c r="AB19">
        <f t="shared" ca="1" si="12"/>
        <v>9.9402878438593945</v>
      </c>
      <c r="AC19">
        <f t="shared" ca="1" si="12"/>
        <v>9.9319337981884352</v>
      </c>
      <c r="AD19">
        <f t="shared" ca="1" si="12"/>
        <v>9.9390285508628899</v>
      </c>
      <c r="AE19">
        <f t="shared" ca="1" si="12"/>
        <v>9.9379648245259631</v>
      </c>
      <c r="AF19">
        <f t="shared" ca="1" si="12"/>
        <v>9.9358171578040118</v>
      </c>
      <c r="AG19">
        <f t="shared" ca="1" si="12"/>
        <v>9.9412640355145783</v>
      </c>
      <c r="AH19">
        <f t="shared" ca="1" si="12"/>
        <v>9.9397106083166484</v>
      </c>
      <c r="AI19">
        <f t="shared" ca="1" si="12"/>
        <v>9.9403023860207185</v>
      </c>
      <c r="AJ19">
        <f t="shared" ca="1" si="12"/>
        <v>9.9397178941987079</v>
      </c>
      <c r="AK19">
        <f t="shared" ca="1" si="12"/>
        <v>9.941343835062753</v>
      </c>
      <c r="AL19">
        <f t="shared" ca="1" si="12"/>
        <v>9.9403187071154608</v>
      </c>
      <c r="AM19">
        <f t="shared" ca="1" si="12"/>
        <v>9.9421604439302111</v>
      </c>
      <c r="AN19">
        <f t="shared" ca="1" si="12"/>
        <v>9.938984528643342</v>
      </c>
      <c r="AO19">
        <f t="shared" ca="1" si="12"/>
        <v>9.9374530864806534</v>
      </c>
      <c r="AP19">
        <f t="shared" ca="1" si="12"/>
        <v>9.9352704105555922</v>
      </c>
      <c r="AQ19">
        <f t="shared" ca="1" si="12"/>
        <v>9.9405370487408131</v>
      </c>
      <c r="AR19">
        <f t="shared" ca="1" si="12"/>
        <v>9.9346779979092918</v>
      </c>
      <c r="AS19">
        <f t="shared" ca="1" si="12"/>
        <v>9.9389461403193859</v>
      </c>
      <c r="AT19">
        <f t="shared" ca="1" si="12"/>
        <v>9.9361767998126638</v>
      </c>
      <c r="AU19">
        <f t="shared" ca="1" si="12"/>
        <v>9.9393691126397545</v>
      </c>
      <c r="AV19">
        <f t="shared" ca="1" si="12"/>
        <v>9.9379377950220285</v>
      </c>
      <c r="AW19">
        <f t="shared" ca="1" si="12"/>
        <v>9.9396366480393787</v>
      </c>
      <c r="AX19">
        <f t="shared" ca="1" si="12"/>
        <v>9.9338984838630093</v>
      </c>
      <c r="AY19">
        <f t="shared" ca="1" si="12"/>
        <v>9.9360112470711677</v>
      </c>
      <c r="AZ19">
        <f t="shared" ca="1" si="12"/>
        <v>9.9354657682443168</v>
      </c>
      <c r="BA19">
        <f t="shared" ca="1" si="12"/>
        <v>9.9369125782860195</v>
      </c>
      <c r="BB19">
        <f t="shared" ca="1" si="12"/>
        <v>9.9369359151731445</v>
      </c>
      <c r="BC19">
        <f t="shared" ca="1" si="12"/>
        <v>9.9409484226612879</v>
      </c>
      <c r="BD19">
        <f t="shared" ca="1" si="12"/>
        <v>9.9364664413265906</v>
      </c>
      <c r="BE19">
        <f t="shared" ca="1" si="12"/>
        <v>9.9384661120431463</v>
      </c>
      <c r="BF19">
        <f t="shared" ca="1" si="12"/>
        <v>9.9425813903824416</v>
      </c>
      <c r="BG19">
        <f t="shared" ca="1" si="12"/>
        <v>9.9361680668311649</v>
      </c>
      <c r="BH19">
        <f t="shared" ca="1" si="12"/>
        <v>9.9376828793920708</v>
      </c>
      <c r="BI19">
        <f t="shared" ca="1" si="12"/>
        <v>9.9402092230182451</v>
      </c>
      <c r="BJ19">
        <f t="shared" ca="1" si="12"/>
        <v>9.9365577702700456</v>
      </c>
      <c r="BK19">
        <f t="shared" ca="1" si="12"/>
        <v>9.932228872216589</v>
      </c>
      <c r="BL19">
        <f t="shared" ca="1" si="12"/>
        <v>9.9388844418119842</v>
      </c>
      <c r="BM19">
        <f t="shared" ca="1" si="12"/>
        <v>9.9362587217163991</v>
      </c>
      <c r="BN19">
        <f t="shared" ca="1" si="12"/>
        <v>9.9401154075132485</v>
      </c>
      <c r="BO19">
        <f t="shared" ref="BO19:DZ23" ca="1" si="16">$B6*EXP(($I6-$J7-($H6^2)/2)*(1/52)+$H6*SQRT(1/52)*_xlfn.NORM.INV(RAND(),0,1))</f>
        <v>9.9348549423428487</v>
      </c>
      <c r="BP19">
        <f t="shared" ca="1" si="16"/>
        <v>9.9389759617748936</v>
      </c>
      <c r="BQ19">
        <f t="shared" ca="1" si="16"/>
        <v>9.9370696552308413</v>
      </c>
      <c r="BR19">
        <f t="shared" ca="1" si="16"/>
        <v>9.9399416172664061</v>
      </c>
      <c r="BS19">
        <f t="shared" ca="1" si="16"/>
        <v>9.9393469369393994</v>
      </c>
      <c r="BT19">
        <f t="shared" ca="1" si="16"/>
        <v>9.9332435981564213</v>
      </c>
      <c r="BU19">
        <f t="shared" ca="1" si="16"/>
        <v>9.9347059807480989</v>
      </c>
      <c r="BV19">
        <f t="shared" ca="1" si="16"/>
        <v>9.9341709364520536</v>
      </c>
      <c r="BW19">
        <f t="shared" ca="1" si="16"/>
        <v>9.9400219837698334</v>
      </c>
      <c r="BX19">
        <f t="shared" ca="1" si="16"/>
        <v>9.9373667054304438</v>
      </c>
      <c r="BY19">
        <f t="shared" ca="1" si="16"/>
        <v>9.9376200921856555</v>
      </c>
      <c r="BZ19">
        <f t="shared" ca="1" si="16"/>
        <v>9.9425117592458534</v>
      </c>
      <c r="CA19">
        <f t="shared" ca="1" si="16"/>
        <v>9.9404651809393627</v>
      </c>
      <c r="CB19">
        <f t="shared" ca="1" si="16"/>
        <v>9.9415418625080108</v>
      </c>
      <c r="CC19">
        <f t="shared" ca="1" si="16"/>
        <v>9.9375883933957123</v>
      </c>
      <c r="CD19">
        <f t="shared" ca="1" si="16"/>
        <v>9.9375514894911667</v>
      </c>
      <c r="CE19">
        <f t="shared" ca="1" si="16"/>
        <v>9.9402108263075526</v>
      </c>
      <c r="CF19">
        <f t="shared" ca="1" si="16"/>
        <v>9.934215949756938</v>
      </c>
      <c r="CG19">
        <f t="shared" ca="1" si="16"/>
        <v>9.9393742345458413</v>
      </c>
      <c r="CH19">
        <f t="shared" ca="1" si="16"/>
        <v>9.9376214315310332</v>
      </c>
      <c r="CI19">
        <f t="shared" ca="1" si="16"/>
        <v>9.9384069509061241</v>
      </c>
      <c r="CJ19">
        <f t="shared" ca="1" si="16"/>
        <v>9.9357142803064846</v>
      </c>
      <c r="CK19">
        <f t="shared" ca="1" si="16"/>
        <v>9.9345994652722371</v>
      </c>
      <c r="CL19">
        <f t="shared" ca="1" si="16"/>
        <v>9.938874875540618</v>
      </c>
      <c r="CM19">
        <f t="shared" ca="1" si="16"/>
        <v>9.9392664274427922</v>
      </c>
      <c r="CN19">
        <f t="shared" ca="1" si="16"/>
        <v>9.9363211685894406</v>
      </c>
      <c r="CO19">
        <f t="shared" ca="1" si="16"/>
        <v>9.9359912066301934</v>
      </c>
      <c r="CP19">
        <f t="shared" ca="1" si="16"/>
        <v>9.9392519858854396</v>
      </c>
      <c r="CQ19">
        <f t="shared" ca="1" si="16"/>
        <v>9.9425674517445657</v>
      </c>
      <c r="CR19">
        <f t="shared" ca="1" si="16"/>
        <v>9.9331308789314718</v>
      </c>
      <c r="CS19">
        <f t="shared" ca="1" si="16"/>
        <v>9.9369910529684748</v>
      </c>
      <c r="CT19">
        <f t="shared" ca="1" si="16"/>
        <v>9.9379135861915771</v>
      </c>
      <c r="CU19">
        <f t="shared" ca="1" si="16"/>
        <v>9.9412203333473688</v>
      </c>
      <c r="CV19">
        <f t="shared" ca="1" si="16"/>
        <v>9.9357294331355241</v>
      </c>
      <c r="CW19">
        <f t="shared" ca="1" si="16"/>
        <v>9.9405384143154123</v>
      </c>
      <c r="CX19">
        <f t="shared" ca="1" si="16"/>
        <v>9.9365532262756791</v>
      </c>
      <c r="CY19">
        <f t="shared" ca="1" si="16"/>
        <v>9.9402772632707244</v>
      </c>
      <c r="CZ19">
        <f t="shared" ca="1" si="16"/>
        <v>9.9332962275156103</v>
      </c>
      <c r="DA19">
        <f t="shared" ca="1" si="16"/>
        <v>9.9395995242969803</v>
      </c>
      <c r="DB19">
        <f t="shared" ca="1" si="16"/>
        <v>9.9381979158511378</v>
      </c>
      <c r="DC19">
        <f t="shared" ca="1" si="16"/>
        <v>9.9384948100692423</v>
      </c>
      <c r="DD19">
        <f t="shared" ca="1" si="16"/>
        <v>9.9408925603816058</v>
      </c>
      <c r="DE19">
        <f t="shared" ca="1" si="16"/>
        <v>9.9375589175845214</v>
      </c>
      <c r="DF19">
        <f t="shared" ca="1" si="16"/>
        <v>9.9375240419830462</v>
      </c>
      <c r="DG19">
        <f t="shared" ca="1" si="16"/>
        <v>9.9388354964526311</v>
      </c>
      <c r="DH19">
        <f t="shared" ca="1" si="16"/>
        <v>9.9349361088543784</v>
      </c>
      <c r="DI19">
        <f t="shared" ca="1" si="16"/>
        <v>9.9418139069654536</v>
      </c>
      <c r="DJ19">
        <f t="shared" ca="1" si="16"/>
        <v>9.9370828303091923</v>
      </c>
      <c r="DK19">
        <f t="shared" ca="1" si="16"/>
        <v>9.9370480324191668</v>
      </c>
      <c r="DL19">
        <f t="shared" ca="1" si="16"/>
        <v>9.9342469914954901</v>
      </c>
      <c r="DM19">
        <f t="shared" ca="1" si="16"/>
        <v>9.9439545201486066</v>
      </c>
      <c r="DN19">
        <f t="shared" ca="1" si="16"/>
        <v>9.9404424418227446</v>
      </c>
      <c r="DO19">
        <f t="shared" ca="1" si="16"/>
        <v>9.9386165788227618</v>
      </c>
      <c r="DP19">
        <f t="shared" ca="1" si="16"/>
        <v>9.9380973451748922</v>
      </c>
      <c r="DQ19">
        <f t="shared" ca="1" si="16"/>
        <v>9.9356477011116162</v>
      </c>
      <c r="DR19">
        <f t="shared" ca="1" si="16"/>
        <v>9.9408726550964452</v>
      </c>
      <c r="DS19">
        <f t="shared" ca="1" si="16"/>
        <v>9.9336657233736325</v>
      </c>
      <c r="DT19">
        <f t="shared" ca="1" si="16"/>
        <v>9.9339684907502601</v>
      </c>
      <c r="DU19">
        <f t="shared" ca="1" si="16"/>
        <v>9.9419009410363817</v>
      </c>
      <c r="DV19">
        <f t="shared" ca="1" si="16"/>
        <v>9.9355413021627683</v>
      </c>
      <c r="DW19">
        <f t="shared" ca="1" si="16"/>
        <v>9.941026919923285</v>
      </c>
      <c r="DX19">
        <f t="shared" ca="1" si="16"/>
        <v>9.9371600573362606</v>
      </c>
      <c r="DY19">
        <f t="shared" ca="1" si="16"/>
        <v>9.9384589953550488</v>
      </c>
      <c r="DZ19">
        <f t="shared" ca="1" si="16"/>
        <v>9.9359787370004184</v>
      </c>
      <c r="EA19">
        <f t="shared" ca="1" si="13"/>
        <v>9.9429833663041531</v>
      </c>
      <c r="EB19">
        <f t="shared" ca="1" si="13"/>
        <v>9.9365972592249907</v>
      </c>
      <c r="EC19">
        <f t="shared" ca="1" si="13"/>
        <v>9.939404885710708</v>
      </c>
      <c r="ED19">
        <f t="shared" ca="1" si="13"/>
        <v>9.9420287837957453</v>
      </c>
      <c r="EE19">
        <f t="shared" ca="1" si="13"/>
        <v>9.937545558016998</v>
      </c>
      <c r="EF19">
        <f t="shared" ca="1" si="13"/>
        <v>9.9371684893101957</v>
      </c>
      <c r="EG19">
        <f t="shared" ca="1" si="13"/>
        <v>9.9409313358472851</v>
      </c>
      <c r="EH19">
        <f t="shared" ca="1" si="13"/>
        <v>9.9340055090699746</v>
      </c>
      <c r="EI19">
        <f t="shared" ca="1" si="13"/>
        <v>9.9370567836575958</v>
      </c>
      <c r="EJ19">
        <f t="shared" ca="1" si="13"/>
        <v>9.9388343027076651</v>
      </c>
      <c r="EK19">
        <f t="shared" ca="1" si="13"/>
        <v>9.9405903290885291</v>
      </c>
      <c r="EL19">
        <f t="shared" ca="1" si="13"/>
        <v>9.9406739053993221</v>
      </c>
      <c r="EM19">
        <f t="shared" ca="1" si="13"/>
        <v>9.9411981739110296</v>
      </c>
      <c r="EN19">
        <f t="shared" ca="1" si="13"/>
        <v>9.9419677491726706</v>
      </c>
      <c r="EO19">
        <f t="shared" ca="1" si="13"/>
        <v>9.9388395891982952</v>
      </c>
      <c r="EP19">
        <f t="shared" ca="1" si="13"/>
        <v>9.934767284125714</v>
      </c>
      <c r="EQ19">
        <f t="shared" ca="1" si="13"/>
        <v>9.931474405271457</v>
      </c>
      <c r="ER19">
        <f t="shared" ca="1" si="13"/>
        <v>9.9384839690703792</v>
      </c>
      <c r="ES19">
        <f t="shared" ca="1" si="13"/>
        <v>9.9351480187330026</v>
      </c>
      <c r="ET19">
        <f t="shared" ca="1" si="13"/>
        <v>9.9370563513398285</v>
      </c>
      <c r="EU19">
        <f t="shared" ca="1" si="13"/>
        <v>9.9435618182580825</v>
      </c>
      <c r="EV19">
        <f t="shared" ca="1" si="13"/>
        <v>9.9392213597640371</v>
      </c>
      <c r="EW19">
        <f t="shared" ca="1" si="13"/>
        <v>9.9390657904043582</v>
      </c>
      <c r="EX19">
        <f t="shared" ca="1" si="13"/>
        <v>9.9361933690364612</v>
      </c>
      <c r="EY19">
        <f t="shared" ca="1" si="13"/>
        <v>9.9351519248012323</v>
      </c>
      <c r="EZ19">
        <f t="shared" ca="1" si="13"/>
        <v>9.9390662297125356</v>
      </c>
      <c r="FA19">
        <f t="shared" ca="1" si="13"/>
        <v>9.9369453058501289</v>
      </c>
      <c r="FB19">
        <f t="shared" ca="1" si="13"/>
        <v>9.9398224535790529</v>
      </c>
      <c r="FC19">
        <f t="shared" ca="1" si="13"/>
        <v>9.939734975805445</v>
      </c>
      <c r="FD19">
        <f t="shared" ca="1" si="13"/>
        <v>9.9441124572680017</v>
      </c>
      <c r="FE19">
        <f t="shared" ca="1" si="13"/>
        <v>9.9398721969459523</v>
      </c>
      <c r="FF19">
        <f t="shared" ca="1" si="13"/>
        <v>9.9369325626457528</v>
      </c>
      <c r="FG19">
        <f t="shared" ca="1" si="13"/>
        <v>9.9385970359820295</v>
      </c>
      <c r="FH19">
        <f t="shared" ca="1" si="13"/>
        <v>9.9405462689690687</v>
      </c>
      <c r="FI19">
        <f t="shared" ca="1" si="13"/>
        <v>9.939881361433681</v>
      </c>
      <c r="FJ19">
        <f t="shared" ca="1" si="13"/>
        <v>9.9338345696399415</v>
      </c>
      <c r="FK19">
        <f t="shared" ca="1" si="13"/>
        <v>9.9399006094856954</v>
      </c>
      <c r="FL19">
        <f t="shared" ca="1" si="13"/>
        <v>9.9391621437319948</v>
      </c>
      <c r="FM19">
        <f t="shared" ca="1" si="13"/>
        <v>9.9376503398595393</v>
      </c>
      <c r="FN19">
        <f t="shared" ca="1" si="13"/>
        <v>9.9381419067971066</v>
      </c>
      <c r="FO19">
        <f t="shared" ca="1" si="13"/>
        <v>9.9368208627345052</v>
      </c>
      <c r="FP19">
        <f t="shared" ca="1" si="13"/>
        <v>9.9380730031401736</v>
      </c>
      <c r="FQ19">
        <f t="shared" ca="1" si="13"/>
        <v>9.9390474927544084</v>
      </c>
      <c r="FR19">
        <f t="shared" ca="1" si="13"/>
        <v>9.9351284272203788</v>
      </c>
      <c r="FS19">
        <f t="shared" ca="1" si="13"/>
        <v>9.9352127406885717</v>
      </c>
      <c r="FT19">
        <f t="shared" ca="1" si="13"/>
        <v>9.9363580770643658</v>
      </c>
      <c r="FU19">
        <f t="shared" ca="1" si="13"/>
        <v>9.9376043724600756</v>
      </c>
      <c r="FV19">
        <f t="shared" ca="1" si="13"/>
        <v>9.9387683812069536</v>
      </c>
      <c r="FW19">
        <f t="shared" ca="1" si="13"/>
        <v>9.9373787383658261</v>
      </c>
      <c r="FX19">
        <f t="shared" ca="1" si="13"/>
        <v>9.9370754852163703</v>
      </c>
      <c r="FY19">
        <f t="shared" ca="1" si="13"/>
        <v>9.9412057216307677</v>
      </c>
      <c r="FZ19">
        <f t="shared" ca="1" si="13"/>
        <v>9.938774337860842</v>
      </c>
      <c r="GA19">
        <f t="shared" ca="1" si="13"/>
        <v>9.9396793464037358</v>
      </c>
      <c r="GB19">
        <f t="shared" ca="1" si="13"/>
        <v>9.9395154919283364</v>
      </c>
      <c r="GC19">
        <f t="shared" ca="1" si="13"/>
        <v>9.9364887189619733</v>
      </c>
      <c r="GD19">
        <f t="shared" ca="1" si="13"/>
        <v>9.9360927778269943</v>
      </c>
      <c r="GE19">
        <f t="shared" ca="1" si="13"/>
        <v>9.9363609041728793</v>
      </c>
      <c r="GF19">
        <f t="shared" ca="1" si="13"/>
        <v>9.9382654075523451</v>
      </c>
      <c r="GG19">
        <f t="shared" ca="1" si="13"/>
        <v>9.9391283148476894</v>
      </c>
      <c r="GH19">
        <f t="shared" ca="1" si="13"/>
        <v>9.9415523484830839</v>
      </c>
      <c r="GI19">
        <f t="shared" ca="1" si="13"/>
        <v>9.9401452127616743</v>
      </c>
      <c r="GJ19">
        <f t="shared" ca="1" si="13"/>
        <v>9.9407824187631473</v>
      </c>
      <c r="GK19">
        <f t="shared" ca="1" si="13"/>
        <v>9.9400367005970232</v>
      </c>
      <c r="GL19">
        <f t="shared" ca="1" si="5"/>
        <v>9.9344531448828306</v>
      </c>
      <c r="GM19">
        <f t="shared" ref="GM19:IX23" ca="1" si="17">$B6*EXP(($I6-$J7-($H6^2)/2)*(1/52)+$H6*SQRT(1/52)*_xlfn.NORM.INV(RAND(),0,1))</f>
        <v>9.9332848679350398</v>
      </c>
      <c r="GN19">
        <f t="shared" ca="1" si="17"/>
        <v>9.9397289508015376</v>
      </c>
      <c r="GO19">
        <f t="shared" ca="1" si="17"/>
        <v>9.9377570736294754</v>
      </c>
      <c r="GP19">
        <f t="shared" ca="1" si="17"/>
        <v>9.9394505591423439</v>
      </c>
      <c r="GQ19">
        <f t="shared" ca="1" si="17"/>
        <v>9.9353541927804088</v>
      </c>
      <c r="GR19">
        <f t="shared" ca="1" si="17"/>
        <v>9.9377224369101018</v>
      </c>
      <c r="GS19">
        <f t="shared" ca="1" si="17"/>
        <v>9.9382925799318329</v>
      </c>
      <c r="GT19">
        <f t="shared" ca="1" si="17"/>
        <v>9.9426630009359354</v>
      </c>
      <c r="GU19">
        <f t="shared" ca="1" si="17"/>
        <v>9.9361921352456637</v>
      </c>
      <c r="GV19">
        <f t="shared" ca="1" si="17"/>
        <v>9.9423069694611588</v>
      </c>
      <c r="GW19">
        <f t="shared" ca="1" si="17"/>
        <v>9.9387104380952884</v>
      </c>
      <c r="GX19">
        <f t="shared" ca="1" si="17"/>
        <v>9.9342978086234304</v>
      </c>
      <c r="GY19">
        <f t="shared" ca="1" si="17"/>
        <v>9.9372857679554034</v>
      </c>
      <c r="GZ19">
        <f t="shared" ca="1" si="17"/>
        <v>9.9419921786716827</v>
      </c>
      <c r="HA19">
        <f t="shared" ca="1" si="17"/>
        <v>9.9363561214372194</v>
      </c>
      <c r="HB19">
        <f t="shared" ca="1" si="17"/>
        <v>9.9418676502749399</v>
      </c>
      <c r="HC19">
        <f t="shared" ca="1" si="17"/>
        <v>9.9383212927416853</v>
      </c>
      <c r="HD19">
        <f t="shared" ca="1" si="17"/>
        <v>9.9414018668336368</v>
      </c>
      <c r="HE19">
        <f t="shared" ca="1" si="17"/>
        <v>9.9399723297931502</v>
      </c>
      <c r="HF19">
        <f t="shared" ca="1" si="17"/>
        <v>9.9378242691699761</v>
      </c>
      <c r="HG19">
        <f t="shared" ca="1" si="17"/>
        <v>9.9407281197295685</v>
      </c>
      <c r="HH19">
        <f t="shared" ca="1" si="17"/>
        <v>9.9375801581081298</v>
      </c>
      <c r="HI19">
        <f t="shared" ca="1" si="17"/>
        <v>9.9440350886731874</v>
      </c>
      <c r="HJ19">
        <f t="shared" ca="1" si="17"/>
        <v>9.9381137437862961</v>
      </c>
      <c r="HK19">
        <f t="shared" ca="1" si="17"/>
        <v>9.9392022886006739</v>
      </c>
      <c r="HL19">
        <f t="shared" ca="1" si="17"/>
        <v>9.9392097782977746</v>
      </c>
      <c r="HM19">
        <f t="shared" ca="1" si="17"/>
        <v>9.9377866617854949</v>
      </c>
      <c r="HN19">
        <f t="shared" ca="1" si="17"/>
        <v>9.9435817549468304</v>
      </c>
      <c r="HO19">
        <f t="shared" ca="1" si="17"/>
        <v>9.9412406727531835</v>
      </c>
      <c r="HP19">
        <f t="shared" ca="1" si="17"/>
        <v>9.9414774342491459</v>
      </c>
      <c r="HQ19">
        <f t="shared" ca="1" si="17"/>
        <v>9.9344334309608744</v>
      </c>
      <c r="HR19">
        <f t="shared" ca="1" si="17"/>
        <v>9.9366742752956103</v>
      </c>
      <c r="HS19">
        <f t="shared" ca="1" si="17"/>
        <v>9.9375443188213008</v>
      </c>
      <c r="HT19">
        <f t="shared" ca="1" si="17"/>
        <v>9.9406930312237325</v>
      </c>
      <c r="HU19">
        <f t="shared" ca="1" si="17"/>
        <v>9.9375087829772237</v>
      </c>
      <c r="HV19">
        <f t="shared" ca="1" si="17"/>
        <v>9.9428919413610402</v>
      </c>
      <c r="HW19">
        <f t="shared" ca="1" si="17"/>
        <v>9.9373069597116714</v>
      </c>
      <c r="HX19">
        <f t="shared" ca="1" si="17"/>
        <v>9.9366581510206355</v>
      </c>
      <c r="HY19">
        <f t="shared" ca="1" si="17"/>
        <v>9.9368868454353461</v>
      </c>
      <c r="HZ19">
        <f t="shared" ca="1" si="17"/>
        <v>9.9415845185742384</v>
      </c>
      <c r="IA19">
        <f t="shared" ca="1" si="17"/>
        <v>9.9328925735478091</v>
      </c>
      <c r="IB19">
        <f t="shared" ca="1" si="17"/>
        <v>9.9397537342035065</v>
      </c>
      <c r="IC19">
        <f t="shared" ca="1" si="17"/>
        <v>9.9382342582490519</v>
      </c>
      <c r="ID19">
        <f t="shared" ca="1" si="17"/>
        <v>9.9393390877604446</v>
      </c>
      <c r="IE19">
        <f t="shared" ca="1" si="17"/>
        <v>9.9348443979427508</v>
      </c>
      <c r="IF19">
        <f t="shared" ca="1" si="17"/>
        <v>9.9355742416472861</v>
      </c>
      <c r="IG19">
        <f t="shared" ca="1" si="17"/>
        <v>9.94071372726658</v>
      </c>
      <c r="IH19">
        <f t="shared" ca="1" si="17"/>
        <v>9.9378624973918654</v>
      </c>
      <c r="II19">
        <f t="shared" ca="1" si="17"/>
        <v>9.9374291149744671</v>
      </c>
      <c r="IJ19">
        <f t="shared" ca="1" si="17"/>
        <v>9.9426200745565332</v>
      </c>
      <c r="IK19">
        <f t="shared" ca="1" si="17"/>
        <v>9.9398517940942739</v>
      </c>
      <c r="IL19">
        <f t="shared" ca="1" si="17"/>
        <v>9.9387938998613752</v>
      </c>
      <c r="IM19">
        <f t="shared" ca="1" si="17"/>
        <v>9.939500462948665</v>
      </c>
      <c r="IN19">
        <f t="shared" ca="1" si="17"/>
        <v>9.9388562563611842</v>
      </c>
      <c r="IO19">
        <f t="shared" ca="1" si="17"/>
        <v>9.9387004895848268</v>
      </c>
      <c r="IP19">
        <f t="shared" ca="1" si="17"/>
        <v>9.9424400386283711</v>
      </c>
      <c r="IQ19">
        <f t="shared" ca="1" si="17"/>
        <v>9.9357894546620553</v>
      </c>
      <c r="IR19">
        <f t="shared" ca="1" si="17"/>
        <v>9.9382826189594571</v>
      </c>
      <c r="IS19">
        <f t="shared" ca="1" si="17"/>
        <v>9.9406119811511182</v>
      </c>
      <c r="IT19">
        <f t="shared" ca="1" si="17"/>
        <v>9.9406564588683413</v>
      </c>
      <c r="IU19">
        <f t="shared" ca="1" si="17"/>
        <v>9.9386735426277184</v>
      </c>
      <c r="IV19">
        <f t="shared" ca="1" si="17"/>
        <v>9.9453611978067364</v>
      </c>
      <c r="IW19">
        <f t="shared" ca="1" si="17"/>
        <v>9.9403363847027535</v>
      </c>
      <c r="IX19">
        <f t="shared" ca="1" si="17"/>
        <v>9.9352683371245956</v>
      </c>
      <c r="IY19">
        <f t="shared" ca="1" si="14"/>
        <v>9.9450292122525248</v>
      </c>
      <c r="IZ19">
        <f t="shared" ca="1" si="14"/>
        <v>9.9370374298826984</v>
      </c>
      <c r="JA19">
        <f t="shared" ca="1" si="14"/>
        <v>9.9337639460548068</v>
      </c>
      <c r="JB19">
        <f t="shared" ca="1" si="14"/>
        <v>9.941551872796186</v>
      </c>
      <c r="JC19">
        <f t="shared" ca="1" si="14"/>
        <v>9.9353005259586631</v>
      </c>
      <c r="JD19">
        <f t="shared" ca="1" si="14"/>
        <v>9.9424474962592875</v>
      </c>
      <c r="JE19">
        <f t="shared" ca="1" si="14"/>
        <v>9.938669302393599</v>
      </c>
      <c r="JF19">
        <f t="shared" ca="1" si="14"/>
        <v>9.9341937498882231</v>
      </c>
      <c r="JG19">
        <f t="shared" ca="1" si="14"/>
        <v>9.93809859836764</v>
      </c>
      <c r="JH19">
        <f t="shared" ca="1" si="14"/>
        <v>9.9386550660065058</v>
      </c>
      <c r="JI19">
        <f t="shared" ca="1" si="14"/>
        <v>9.9408226235678878</v>
      </c>
      <c r="JJ19">
        <f t="shared" ca="1" si="14"/>
        <v>9.9365231179394744</v>
      </c>
      <c r="JK19">
        <f t="shared" ca="1" si="14"/>
        <v>9.9386118674332664</v>
      </c>
      <c r="JL19">
        <f t="shared" ca="1" si="14"/>
        <v>9.9403709453622309</v>
      </c>
      <c r="JM19">
        <f t="shared" ca="1" si="14"/>
        <v>9.9400715045212831</v>
      </c>
      <c r="JN19">
        <f t="shared" ca="1" si="14"/>
        <v>9.936154695114702</v>
      </c>
      <c r="JO19">
        <f t="shared" ca="1" si="14"/>
        <v>9.9319193550874942</v>
      </c>
      <c r="JP19">
        <f t="shared" ca="1" si="14"/>
        <v>9.9406544212708123</v>
      </c>
      <c r="JQ19">
        <f t="shared" ca="1" si="14"/>
        <v>9.9360669369868919</v>
      </c>
      <c r="JR19">
        <f t="shared" ca="1" si="14"/>
        <v>9.9326143023758711</v>
      </c>
      <c r="JS19">
        <f t="shared" ca="1" si="14"/>
        <v>9.9432153311637919</v>
      </c>
      <c r="JT19">
        <f t="shared" ca="1" si="14"/>
        <v>9.9402769510807669</v>
      </c>
      <c r="JU19">
        <f t="shared" ca="1" si="14"/>
        <v>9.939273434520242</v>
      </c>
      <c r="JV19">
        <f t="shared" ca="1" si="14"/>
        <v>9.9359499759726457</v>
      </c>
      <c r="JW19">
        <f t="shared" ca="1" si="14"/>
        <v>9.9385683125291067</v>
      </c>
      <c r="JX19">
        <f t="shared" ca="1" si="14"/>
        <v>9.9372534843031293</v>
      </c>
      <c r="JY19">
        <f t="shared" ca="1" si="14"/>
        <v>9.9385303173480519</v>
      </c>
      <c r="JZ19">
        <f t="shared" ca="1" si="14"/>
        <v>9.9370315138808891</v>
      </c>
      <c r="KA19">
        <f t="shared" ca="1" si="14"/>
        <v>9.9353222772586811</v>
      </c>
      <c r="KB19">
        <f t="shared" ca="1" si="14"/>
        <v>9.945042960112028</v>
      </c>
      <c r="KC19">
        <f t="shared" ca="1" si="14"/>
        <v>9.9367773821919325</v>
      </c>
      <c r="KD19">
        <f t="shared" ca="1" si="14"/>
        <v>9.9417646152121559</v>
      </c>
      <c r="KE19">
        <f t="shared" ca="1" si="14"/>
        <v>9.9413571178022444</v>
      </c>
      <c r="KF19">
        <f t="shared" ca="1" si="14"/>
        <v>9.9349670338742264</v>
      </c>
      <c r="KG19">
        <f t="shared" ca="1" si="14"/>
        <v>9.9408281563201815</v>
      </c>
      <c r="KH19">
        <f t="shared" ca="1" si="14"/>
        <v>9.9360463822051805</v>
      </c>
      <c r="KI19">
        <f t="shared" ca="1" si="14"/>
        <v>9.9406630526722299</v>
      </c>
      <c r="KJ19">
        <f t="shared" ca="1" si="14"/>
        <v>9.9376137216086153</v>
      </c>
      <c r="KK19">
        <f t="shared" ca="1" si="14"/>
        <v>9.9404436475767035</v>
      </c>
      <c r="KL19">
        <f t="shared" ca="1" si="14"/>
        <v>9.9401536564658812</v>
      </c>
      <c r="KM19">
        <f t="shared" ca="1" si="14"/>
        <v>9.9373957314360606</v>
      </c>
      <c r="KN19">
        <f t="shared" ca="1" si="14"/>
        <v>9.9419957173784805</v>
      </c>
      <c r="KO19">
        <f t="shared" ca="1" si="14"/>
        <v>9.9353677372589981</v>
      </c>
      <c r="KP19">
        <f t="shared" ca="1" si="14"/>
        <v>9.9363093204325867</v>
      </c>
      <c r="KQ19">
        <f t="shared" ca="1" si="14"/>
        <v>9.9396243480131581</v>
      </c>
      <c r="KR19">
        <f t="shared" ca="1" si="14"/>
        <v>9.9425487986949435</v>
      </c>
      <c r="KS19">
        <f t="shared" ca="1" si="14"/>
        <v>9.9386008259978667</v>
      </c>
      <c r="KT19">
        <f t="shared" ca="1" si="14"/>
        <v>9.9390218965091695</v>
      </c>
      <c r="KU19">
        <f t="shared" ca="1" si="14"/>
        <v>9.9373999548369127</v>
      </c>
      <c r="KV19">
        <f t="shared" ca="1" si="14"/>
        <v>9.94264608177218</v>
      </c>
      <c r="KW19">
        <f t="shared" ca="1" si="14"/>
        <v>9.9346620396591234</v>
      </c>
      <c r="KX19">
        <f t="shared" ca="1" si="14"/>
        <v>9.9378435320312395</v>
      </c>
      <c r="KY19">
        <f t="shared" ca="1" si="14"/>
        <v>9.9399332774370119</v>
      </c>
      <c r="KZ19">
        <f t="shared" ca="1" si="14"/>
        <v>9.9404967391490935</v>
      </c>
      <c r="LA19">
        <f t="shared" ca="1" si="14"/>
        <v>9.9421713685780215</v>
      </c>
      <c r="LB19">
        <f t="shared" ca="1" si="14"/>
        <v>9.935588488147312</v>
      </c>
      <c r="LC19">
        <f t="shared" ca="1" si="14"/>
        <v>9.9421976486602386</v>
      </c>
      <c r="LD19">
        <f t="shared" ca="1" si="14"/>
        <v>9.9406287190923663</v>
      </c>
      <c r="LE19">
        <f t="shared" ca="1" si="14"/>
        <v>9.9397177676304977</v>
      </c>
      <c r="LF19">
        <f t="shared" ca="1" si="14"/>
        <v>9.9349069700623645</v>
      </c>
      <c r="LG19">
        <f t="shared" ca="1" si="14"/>
        <v>9.9385431676843528</v>
      </c>
      <c r="LH19">
        <f t="shared" ca="1" si="14"/>
        <v>9.9429298750426707</v>
      </c>
      <c r="LI19">
        <f t="shared" ca="1" si="14"/>
        <v>9.9379421443347127</v>
      </c>
      <c r="LJ19">
        <f t="shared" ca="1" si="7"/>
        <v>9.931382960279791</v>
      </c>
      <c r="LK19">
        <f t="shared" ref="LK19:NV23" ca="1" si="18">$B6*EXP(($I6-$J7-($H6^2)/2)*(1/52)+$H6*SQRT(1/52)*_xlfn.NORM.INV(RAND(),0,1))</f>
        <v>9.9419628627295289</v>
      </c>
      <c r="LL19">
        <f t="shared" ca="1" si="18"/>
        <v>9.9330325032056859</v>
      </c>
      <c r="LM19">
        <f t="shared" ca="1" si="18"/>
        <v>9.9357520312948449</v>
      </c>
      <c r="LN19">
        <f t="shared" ca="1" si="18"/>
        <v>9.9339546889903474</v>
      </c>
      <c r="LO19">
        <f t="shared" ca="1" si="18"/>
        <v>9.9352213656158206</v>
      </c>
      <c r="LP19">
        <f t="shared" ca="1" si="18"/>
        <v>9.9326300911310721</v>
      </c>
      <c r="LQ19">
        <f t="shared" ca="1" si="18"/>
        <v>9.9418830221236174</v>
      </c>
      <c r="LR19">
        <f t="shared" ca="1" si="18"/>
        <v>9.9375507881355354</v>
      </c>
      <c r="LS19">
        <f t="shared" ca="1" si="18"/>
        <v>9.9352582356553558</v>
      </c>
      <c r="LT19">
        <f t="shared" ca="1" si="18"/>
        <v>9.9387958019488956</v>
      </c>
      <c r="LU19">
        <f t="shared" ca="1" si="18"/>
        <v>9.9379434661323334</v>
      </c>
      <c r="LV19">
        <f t="shared" ca="1" si="18"/>
        <v>9.9402092498921562</v>
      </c>
      <c r="LW19">
        <f t="shared" ca="1" si="18"/>
        <v>9.9368644727230429</v>
      </c>
      <c r="LX19">
        <f t="shared" ca="1" si="18"/>
        <v>9.9376193000886666</v>
      </c>
      <c r="LY19">
        <f t="shared" ca="1" si="18"/>
        <v>9.9432636194539512</v>
      </c>
      <c r="LZ19">
        <f t="shared" ca="1" si="18"/>
        <v>9.9407875947663698</v>
      </c>
      <c r="MA19">
        <f t="shared" ca="1" si="18"/>
        <v>9.9386793493903909</v>
      </c>
      <c r="MB19">
        <f t="shared" ca="1" si="18"/>
        <v>9.9366112647729494</v>
      </c>
      <c r="MC19">
        <f t="shared" ca="1" si="18"/>
        <v>9.9413136243085045</v>
      </c>
      <c r="MD19">
        <f t="shared" ca="1" si="18"/>
        <v>9.9370951716902223</v>
      </c>
      <c r="ME19">
        <f t="shared" ca="1" si="18"/>
        <v>9.9345497492166395</v>
      </c>
      <c r="MF19">
        <f t="shared" ca="1" si="18"/>
        <v>9.9378963711410915</v>
      </c>
      <c r="MG19">
        <f t="shared" ca="1" si="18"/>
        <v>9.9378436504802341</v>
      </c>
      <c r="MH19">
        <f t="shared" ca="1" si="18"/>
        <v>9.9348921919653179</v>
      </c>
      <c r="MI19">
        <f t="shared" ca="1" si="18"/>
        <v>9.9314697384484187</v>
      </c>
      <c r="MJ19">
        <f t="shared" ca="1" si="18"/>
        <v>9.935271732923999</v>
      </c>
      <c r="MK19">
        <f t="shared" ca="1" si="18"/>
        <v>9.9395304095699597</v>
      </c>
      <c r="ML19">
        <f t="shared" ca="1" si="18"/>
        <v>9.9382888783469792</v>
      </c>
      <c r="MM19">
        <f t="shared" ca="1" si="18"/>
        <v>9.9350303024447193</v>
      </c>
      <c r="MN19">
        <f t="shared" ca="1" si="18"/>
        <v>9.9403913942649424</v>
      </c>
      <c r="MO19">
        <f t="shared" ca="1" si="18"/>
        <v>9.9350549057508957</v>
      </c>
      <c r="MP19">
        <f t="shared" ca="1" si="18"/>
        <v>9.9392225685431601</v>
      </c>
      <c r="MQ19">
        <f t="shared" ca="1" si="18"/>
        <v>9.9405942994391303</v>
      </c>
      <c r="MR19">
        <f t="shared" ca="1" si="18"/>
        <v>9.939277884559953</v>
      </c>
      <c r="MS19">
        <f t="shared" ca="1" si="18"/>
        <v>9.9373919186948232</v>
      </c>
      <c r="MT19">
        <f t="shared" ca="1" si="18"/>
        <v>9.9344089876932173</v>
      </c>
      <c r="MU19">
        <f t="shared" ca="1" si="18"/>
        <v>9.9374443736627764</v>
      </c>
      <c r="MV19">
        <f t="shared" ca="1" si="18"/>
        <v>9.9353829226877064</v>
      </c>
      <c r="MW19">
        <f t="shared" ca="1" si="18"/>
        <v>9.9409064706599928</v>
      </c>
      <c r="MX19">
        <f t="shared" ca="1" si="18"/>
        <v>9.9373810652494168</v>
      </c>
      <c r="MY19">
        <f t="shared" ca="1" si="18"/>
        <v>9.9400131153962388</v>
      </c>
      <c r="MZ19">
        <f t="shared" ca="1" si="18"/>
        <v>9.9370391267098395</v>
      </c>
      <c r="NA19">
        <f t="shared" ca="1" si="18"/>
        <v>9.9387265383071384</v>
      </c>
      <c r="NB19">
        <f t="shared" ca="1" si="18"/>
        <v>9.9374750596291239</v>
      </c>
      <c r="NC19">
        <f t="shared" ca="1" si="18"/>
        <v>9.9370020902931611</v>
      </c>
      <c r="ND19">
        <f t="shared" ca="1" si="18"/>
        <v>9.9361583714484603</v>
      </c>
      <c r="NE19">
        <f t="shared" ca="1" si="18"/>
        <v>9.9349780747378951</v>
      </c>
      <c r="NF19">
        <f t="shared" ca="1" si="18"/>
        <v>9.9380635461641926</v>
      </c>
      <c r="NG19">
        <f t="shared" ca="1" si="18"/>
        <v>9.9398273685813869</v>
      </c>
      <c r="NH19">
        <f t="shared" ca="1" si="18"/>
        <v>9.9390689688853993</v>
      </c>
      <c r="NI19">
        <f t="shared" ca="1" si="18"/>
        <v>9.9354113717283887</v>
      </c>
      <c r="NJ19">
        <f t="shared" ca="1" si="18"/>
        <v>9.9383572908951265</v>
      </c>
      <c r="NK19">
        <f t="shared" ca="1" si="18"/>
        <v>9.9384708140354778</v>
      </c>
      <c r="NL19">
        <f t="shared" ca="1" si="18"/>
        <v>9.9419725357460731</v>
      </c>
      <c r="NM19">
        <f t="shared" ca="1" si="18"/>
        <v>9.9378712857935199</v>
      </c>
      <c r="NN19">
        <f t="shared" ca="1" si="18"/>
        <v>9.932839796599426</v>
      </c>
      <c r="NO19">
        <f t="shared" ca="1" si="18"/>
        <v>9.9353115930668441</v>
      </c>
      <c r="NP19">
        <f t="shared" ca="1" si="18"/>
        <v>9.9362110040573199</v>
      </c>
      <c r="NQ19">
        <f t="shared" ca="1" si="18"/>
        <v>9.9356591555326617</v>
      </c>
      <c r="NR19">
        <f t="shared" ca="1" si="18"/>
        <v>9.9381214197527008</v>
      </c>
      <c r="NS19">
        <f t="shared" ca="1" si="18"/>
        <v>9.9356577548019409</v>
      </c>
      <c r="NT19">
        <f t="shared" ca="1" si="18"/>
        <v>9.9382823876637687</v>
      </c>
      <c r="NU19">
        <f t="shared" ca="1" si="18"/>
        <v>9.9415531758787292</v>
      </c>
      <c r="NV19">
        <f t="shared" ca="1" si="18"/>
        <v>9.9380769292720679</v>
      </c>
      <c r="NW19">
        <f t="shared" ca="1" si="15"/>
        <v>9.9367608017180746</v>
      </c>
      <c r="NX19">
        <f t="shared" ca="1" si="15"/>
        <v>9.93835967960527</v>
      </c>
      <c r="NY19">
        <f t="shared" ca="1" si="15"/>
        <v>9.9336666035264027</v>
      </c>
      <c r="NZ19">
        <f t="shared" ca="1" si="15"/>
        <v>9.933652458225751</v>
      </c>
      <c r="OA19">
        <f t="shared" ca="1" si="15"/>
        <v>9.9340830727088019</v>
      </c>
      <c r="OB19">
        <f t="shared" ca="1" si="15"/>
        <v>9.9346887258426939</v>
      </c>
      <c r="OC19">
        <f t="shared" ca="1" si="15"/>
        <v>9.9401624992022128</v>
      </c>
      <c r="OD19">
        <f t="shared" ca="1" si="15"/>
        <v>9.9328406987182287</v>
      </c>
      <c r="OE19">
        <f t="shared" ca="1" si="15"/>
        <v>9.9380148301051019</v>
      </c>
      <c r="OF19">
        <f t="shared" ca="1" si="15"/>
        <v>9.9367202418542888</v>
      </c>
      <c r="OG19">
        <f t="shared" ca="1" si="15"/>
        <v>9.9378426561876427</v>
      </c>
      <c r="OH19">
        <f t="shared" ca="1" si="15"/>
        <v>9.9377107313476927</v>
      </c>
      <c r="OI19">
        <f t="shared" ca="1" si="15"/>
        <v>9.9385989062489841</v>
      </c>
      <c r="OJ19">
        <f t="shared" ca="1" si="15"/>
        <v>9.9399481423767764</v>
      </c>
      <c r="OK19">
        <f t="shared" ca="1" si="15"/>
        <v>9.9367168647497746</v>
      </c>
      <c r="OL19">
        <f t="shared" ca="1" si="15"/>
        <v>9.9388130726447788</v>
      </c>
      <c r="OM19">
        <f t="shared" ca="1" si="15"/>
        <v>9.936608836371148</v>
      </c>
      <c r="ON19">
        <f t="shared" ca="1" si="15"/>
        <v>9.9411987865290943</v>
      </c>
      <c r="OO19">
        <f t="shared" ca="1" si="15"/>
        <v>9.939436496545822</v>
      </c>
      <c r="OP19">
        <f t="shared" ca="1" si="15"/>
        <v>9.9362839749202472</v>
      </c>
      <c r="OQ19">
        <f t="shared" ca="1" si="15"/>
        <v>9.9393713559429866</v>
      </c>
      <c r="OR19">
        <f t="shared" ca="1" si="15"/>
        <v>9.9366397650590841</v>
      </c>
      <c r="OS19">
        <f t="shared" ca="1" si="15"/>
        <v>9.9381312895936187</v>
      </c>
      <c r="OT19">
        <f t="shared" ca="1" si="15"/>
        <v>9.9399405925642821</v>
      </c>
      <c r="OU19">
        <f t="shared" ca="1" si="15"/>
        <v>9.9390438642233931</v>
      </c>
      <c r="OV19">
        <f t="shared" ca="1" si="15"/>
        <v>9.9365682026993358</v>
      </c>
      <c r="OW19">
        <f t="shared" ca="1" si="15"/>
        <v>9.93924676012454</v>
      </c>
      <c r="OX19">
        <f t="shared" ca="1" si="15"/>
        <v>9.9345893342646292</v>
      </c>
      <c r="OY19">
        <f t="shared" ca="1" si="15"/>
        <v>9.9353905036480139</v>
      </c>
      <c r="OZ19">
        <f t="shared" ca="1" si="15"/>
        <v>9.939005147196891</v>
      </c>
      <c r="PA19">
        <f t="shared" ca="1" si="15"/>
        <v>9.9376027995653704</v>
      </c>
      <c r="PB19">
        <f t="shared" ca="1" si="15"/>
        <v>9.9384028170435368</v>
      </c>
      <c r="PC19">
        <f t="shared" ca="1" si="15"/>
        <v>9.9418986452776466</v>
      </c>
      <c r="PD19">
        <f t="shared" ca="1" si="15"/>
        <v>9.9401012100758788</v>
      </c>
      <c r="PE19">
        <f t="shared" ca="1" si="15"/>
        <v>9.9339664452520058</v>
      </c>
      <c r="PF19">
        <f t="shared" ca="1" si="15"/>
        <v>9.9371994254812641</v>
      </c>
      <c r="PG19">
        <f t="shared" ca="1" si="15"/>
        <v>9.9403779535334156</v>
      </c>
      <c r="PH19">
        <f t="shared" ca="1" si="15"/>
        <v>9.9394362313593145</v>
      </c>
      <c r="PI19">
        <f t="shared" ca="1" si="15"/>
        <v>9.9403134879528903</v>
      </c>
      <c r="PJ19">
        <f t="shared" ca="1" si="15"/>
        <v>9.9371500352851676</v>
      </c>
      <c r="PK19">
        <f t="shared" ca="1" si="15"/>
        <v>9.9395031163513412</v>
      </c>
      <c r="PL19">
        <f t="shared" ca="1" si="15"/>
        <v>9.9362092563430391</v>
      </c>
      <c r="PM19">
        <f t="shared" ca="1" si="15"/>
        <v>9.939594798900707</v>
      </c>
      <c r="PN19">
        <f t="shared" ca="1" si="15"/>
        <v>9.9381504809501386</v>
      </c>
      <c r="PO19">
        <f t="shared" ca="1" si="15"/>
        <v>9.9376792261634943</v>
      </c>
      <c r="PP19">
        <f t="shared" ca="1" si="15"/>
        <v>9.9357864130795033</v>
      </c>
      <c r="PQ19">
        <f t="shared" ca="1" si="15"/>
        <v>9.936656607808624</v>
      </c>
      <c r="PR19">
        <f t="shared" ca="1" si="15"/>
        <v>9.9360947540336184</v>
      </c>
      <c r="PS19">
        <f t="shared" ca="1" si="15"/>
        <v>9.9391592260759829</v>
      </c>
      <c r="PT19">
        <f t="shared" ca="1" si="15"/>
        <v>9.9362372092046218</v>
      </c>
      <c r="PU19">
        <f t="shared" ca="1" si="15"/>
        <v>9.9394876441898123</v>
      </c>
      <c r="PV19">
        <f t="shared" ca="1" si="15"/>
        <v>9.9397497386577758</v>
      </c>
      <c r="PW19">
        <f t="shared" ca="1" si="15"/>
        <v>9.9348506633287492</v>
      </c>
      <c r="PX19">
        <f t="shared" ca="1" si="15"/>
        <v>9.9403864437326082</v>
      </c>
      <c r="PY19">
        <f t="shared" ca="1" si="15"/>
        <v>9.9373640657014164</v>
      </c>
      <c r="PZ19">
        <f t="shared" ca="1" si="15"/>
        <v>9.9337688288297112</v>
      </c>
      <c r="QA19">
        <f t="shared" ca="1" si="15"/>
        <v>9.9353149772103055</v>
      </c>
      <c r="QB19">
        <f t="shared" ca="1" si="15"/>
        <v>9.939007573529949</v>
      </c>
      <c r="QC19">
        <f t="shared" ca="1" si="15"/>
        <v>9.9384883564029387</v>
      </c>
      <c r="QD19">
        <f t="shared" ca="1" si="15"/>
        <v>9.9371664933636055</v>
      </c>
      <c r="QE19">
        <f t="shared" ca="1" si="15"/>
        <v>9.9386118804633643</v>
      </c>
      <c r="QF19">
        <f t="shared" ca="1" si="15"/>
        <v>9.9362202310835475</v>
      </c>
      <c r="QG19">
        <f t="shared" ca="1" si="15"/>
        <v>9.9378954979824119</v>
      </c>
      <c r="QH19">
        <f t="shared" ca="1" si="9"/>
        <v>9.9383347130094499</v>
      </c>
      <c r="QI19">
        <f t="shared" ca="1" si="10"/>
        <v>9.934852733026446</v>
      </c>
      <c r="QJ19">
        <f t="shared" ca="1" si="10"/>
        <v>9.9365977175439362</v>
      </c>
      <c r="QK19">
        <f t="shared" ca="1" si="10"/>
        <v>9.9385388156700571</v>
      </c>
      <c r="QL19">
        <f t="shared" ca="1" si="10"/>
        <v>9.9384683561800529</v>
      </c>
      <c r="QM19">
        <f t="shared" ca="1" si="10"/>
        <v>9.9413627959233022</v>
      </c>
      <c r="QN19">
        <f t="shared" ca="1" si="10"/>
        <v>9.9370683688789576</v>
      </c>
      <c r="QO19">
        <f t="shared" ca="1" si="10"/>
        <v>9.9395951507820506</v>
      </c>
      <c r="QP19">
        <f t="shared" ca="1" si="10"/>
        <v>9.9393316042717199</v>
      </c>
      <c r="QQ19">
        <f t="shared" ca="1" si="10"/>
        <v>9.9380031160736735</v>
      </c>
      <c r="QR19">
        <f t="shared" ca="1" si="10"/>
        <v>9.9390227831093885</v>
      </c>
      <c r="QS19">
        <f t="shared" ca="1" si="10"/>
        <v>9.9401276515489538</v>
      </c>
      <c r="QT19">
        <f t="shared" ca="1" si="10"/>
        <v>9.9375679043308978</v>
      </c>
      <c r="QU19">
        <f t="shared" ca="1" si="10"/>
        <v>9.9360941754072627</v>
      </c>
      <c r="QV19">
        <f t="shared" ca="1" si="10"/>
        <v>9.9360010840131423</v>
      </c>
      <c r="QW19">
        <f t="shared" ca="1" si="10"/>
        <v>9.9347870748157856</v>
      </c>
      <c r="QX19">
        <f t="shared" ca="1" si="10"/>
        <v>9.9373091221781031</v>
      </c>
      <c r="QY19">
        <f t="shared" ca="1" si="10"/>
        <v>9.9457346032985523</v>
      </c>
      <c r="QZ19">
        <f t="shared" ca="1" si="10"/>
        <v>9.9370999627742354</v>
      </c>
      <c r="RA19">
        <f t="shared" ca="1" si="10"/>
        <v>9.9365344399512789</v>
      </c>
      <c r="RB19">
        <f t="shared" ca="1" si="10"/>
        <v>9.9347466180767938</v>
      </c>
      <c r="RC19">
        <f t="shared" ca="1" si="10"/>
        <v>9.9415410261071884</v>
      </c>
      <c r="RD19">
        <f t="shared" ca="1" si="10"/>
        <v>9.9421418957527035</v>
      </c>
      <c r="RE19">
        <f t="shared" ca="1" si="10"/>
        <v>9.9396241633250337</v>
      </c>
      <c r="RF19">
        <f t="shared" ca="1" si="10"/>
        <v>9.943250050044858</v>
      </c>
      <c r="RG19">
        <f t="shared" ca="1" si="10"/>
        <v>9.9365014000895044</v>
      </c>
      <c r="RH19">
        <f t="shared" ca="1" si="10"/>
        <v>9.9351138026392753</v>
      </c>
      <c r="RI19">
        <f t="shared" ca="1" si="10"/>
        <v>9.9433398223599898</v>
      </c>
      <c r="RJ19">
        <f t="shared" ca="1" si="10"/>
        <v>9.9329458320324662</v>
      </c>
      <c r="RK19">
        <f t="shared" ca="1" si="10"/>
        <v>9.9386775610113691</v>
      </c>
      <c r="RL19">
        <f t="shared" ca="1" si="10"/>
        <v>9.9405216294056</v>
      </c>
      <c r="RM19">
        <f t="shared" ca="1" si="10"/>
        <v>9.9360969958925303</v>
      </c>
      <c r="RN19">
        <f t="shared" ca="1" si="10"/>
        <v>9.9388622007517284</v>
      </c>
      <c r="RO19">
        <f t="shared" ca="1" si="10"/>
        <v>9.9401736819343984</v>
      </c>
      <c r="RP19">
        <f t="shared" ca="1" si="10"/>
        <v>9.9380977470603487</v>
      </c>
      <c r="RQ19">
        <f t="shared" ca="1" si="10"/>
        <v>9.9345248262244308</v>
      </c>
      <c r="RR19">
        <f t="shared" ca="1" si="10"/>
        <v>9.9365872879706725</v>
      </c>
      <c r="RS19">
        <f t="shared" ca="1" si="10"/>
        <v>9.938457666708441</v>
      </c>
      <c r="RT19">
        <f t="shared" ca="1" si="10"/>
        <v>9.9390255012169249</v>
      </c>
      <c r="RU19">
        <f t="shared" ca="1" si="10"/>
        <v>9.9378333439654227</v>
      </c>
      <c r="RV19">
        <f t="shared" ca="1" si="10"/>
        <v>9.9407225220707787</v>
      </c>
      <c r="RW19">
        <f t="shared" ca="1" si="10"/>
        <v>9.9364078024055633</v>
      </c>
      <c r="RX19">
        <f t="shared" ca="1" si="10"/>
        <v>9.9334382183034613</v>
      </c>
      <c r="RY19">
        <f t="shared" ca="1" si="10"/>
        <v>9.9379308664556874</v>
      </c>
      <c r="RZ19">
        <f t="shared" ca="1" si="10"/>
        <v>9.9390866390209567</v>
      </c>
      <c r="SA19">
        <f t="shared" ca="1" si="10"/>
        <v>9.9354229867862518</v>
      </c>
      <c r="SB19">
        <f t="shared" ca="1" si="10"/>
        <v>9.9374258929488093</v>
      </c>
      <c r="SC19">
        <f t="shared" ca="1" si="10"/>
        <v>9.9349844192191341</v>
      </c>
      <c r="SD19">
        <f t="shared" ca="1" si="10"/>
        <v>9.9353716547383968</v>
      </c>
      <c r="SE19">
        <f t="shared" ca="1" si="10"/>
        <v>9.9411217622908339</v>
      </c>
      <c r="SF19">
        <f t="shared" ca="1" si="10"/>
        <v>9.9381290876568258</v>
      </c>
      <c r="SG19">
        <f t="shared" ca="1" si="10"/>
        <v>9.9398396793944723</v>
      </c>
    </row>
    <row r="20" spans="1:501" x14ac:dyDescent="0.3">
      <c r="A20" s="1" t="s">
        <v>91</v>
      </c>
      <c r="B20">
        <f t="shared" ca="1" si="11"/>
        <v>9.8730703650944083</v>
      </c>
      <c r="C20">
        <f t="shared" ca="1" si="12"/>
        <v>9.8792250183397048</v>
      </c>
      <c r="D20">
        <f t="shared" ca="1" si="12"/>
        <v>9.8713201501687688</v>
      </c>
      <c r="E20">
        <f t="shared" ca="1" si="12"/>
        <v>9.8813129451292614</v>
      </c>
      <c r="F20">
        <f t="shared" ca="1" si="12"/>
        <v>9.8832767856975057</v>
      </c>
      <c r="G20">
        <f t="shared" ca="1" si="12"/>
        <v>9.8803873869098808</v>
      </c>
      <c r="H20">
        <f t="shared" ca="1" si="12"/>
        <v>9.8802738241016712</v>
      </c>
      <c r="I20">
        <f t="shared" ca="1" si="12"/>
        <v>9.8802845610800158</v>
      </c>
      <c r="J20">
        <f t="shared" ca="1" si="12"/>
        <v>9.8762290078912365</v>
      </c>
      <c r="K20">
        <f t="shared" ca="1" si="12"/>
        <v>9.8769399535730091</v>
      </c>
      <c r="L20">
        <f t="shared" ca="1" si="12"/>
        <v>9.8752750722228502</v>
      </c>
      <c r="M20">
        <f t="shared" ca="1" si="12"/>
        <v>9.879762801633774</v>
      </c>
      <c r="N20">
        <f t="shared" ca="1" si="12"/>
        <v>9.8786239226325492</v>
      </c>
      <c r="O20">
        <f t="shared" ca="1" si="12"/>
        <v>9.8751669557350592</v>
      </c>
      <c r="P20">
        <f t="shared" ca="1" si="12"/>
        <v>9.8774777532982441</v>
      </c>
      <c r="Q20">
        <f t="shared" ca="1" si="12"/>
        <v>9.8800871475070551</v>
      </c>
      <c r="R20">
        <f t="shared" ca="1" si="12"/>
        <v>9.8749642168746448</v>
      </c>
      <c r="S20">
        <f t="shared" ca="1" si="12"/>
        <v>9.8778258810039272</v>
      </c>
      <c r="T20">
        <f t="shared" ca="1" si="12"/>
        <v>9.8760669514424269</v>
      </c>
      <c r="U20">
        <f t="shared" ca="1" si="12"/>
        <v>9.8844684239745622</v>
      </c>
      <c r="V20">
        <f t="shared" ca="1" si="12"/>
        <v>9.8733993745551611</v>
      </c>
      <c r="W20">
        <f t="shared" ca="1" si="12"/>
        <v>9.874386734974328</v>
      </c>
      <c r="X20">
        <f t="shared" ca="1" si="12"/>
        <v>9.879469047185248</v>
      </c>
      <c r="Y20">
        <f t="shared" ca="1" si="12"/>
        <v>9.8811272749637364</v>
      </c>
      <c r="Z20">
        <f t="shared" ca="1" si="12"/>
        <v>9.875086278793253</v>
      </c>
      <c r="AA20">
        <f t="shared" ca="1" si="12"/>
        <v>9.8771224161228748</v>
      </c>
      <c r="AB20">
        <f t="shared" ca="1" si="12"/>
        <v>9.8785852686821727</v>
      </c>
      <c r="AC20">
        <f t="shared" ca="1" si="12"/>
        <v>9.8771651821804358</v>
      </c>
      <c r="AD20">
        <f t="shared" ca="1" si="12"/>
        <v>9.8785201756925005</v>
      </c>
      <c r="AE20">
        <f t="shared" ca="1" si="12"/>
        <v>9.8751802692097748</v>
      </c>
      <c r="AF20">
        <f t="shared" ca="1" si="12"/>
        <v>9.8749447204978456</v>
      </c>
      <c r="AG20">
        <f t="shared" ca="1" si="12"/>
        <v>9.8814388148733894</v>
      </c>
      <c r="AH20">
        <f t="shared" ca="1" si="12"/>
        <v>9.8786815179975953</v>
      </c>
      <c r="AI20">
        <f t="shared" ca="1" si="12"/>
        <v>9.8815501643821975</v>
      </c>
      <c r="AJ20">
        <f t="shared" ca="1" si="12"/>
        <v>9.8788042059666825</v>
      </c>
      <c r="AK20">
        <f t="shared" ca="1" si="12"/>
        <v>9.8744793586532911</v>
      </c>
      <c r="AL20">
        <f t="shared" ca="1" si="12"/>
        <v>9.8748330009699998</v>
      </c>
      <c r="AM20">
        <f t="shared" ca="1" si="12"/>
        <v>9.8798196280119619</v>
      </c>
      <c r="AN20">
        <f t="shared" ca="1" si="12"/>
        <v>9.8801225075583794</v>
      </c>
      <c r="AO20">
        <f t="shared" ca="1" si="12"/>
        <v>9.8830016633748183</v>
      </c>
      <c r="AP20">
        <f t="shared" ca="1" si="12"/>
        <v>9.8799659207003234</v>
      </c>
      <c r="AQ20">
        <f t="shared" ca="1" si="12"/>
        <v>9.8790718835533955</v>
      </c>
      <c r="AR20">
        <f t="shared" ca="1" si="12"/>
        <v>9.8756887408676324</v>
      </c>
      <c r="AS20">
        <f t="shared" ca="1" si="12"/>
        <v>9.8754044573705091</v>
      </c>
      <c r="AT20">
        <f t="shared" ca="1" si="12"/>
        <v>9.8793597750608217</v>
      </c>
      <c r="AU20">
        <f t="shared" ca="1" si="12"/>
        <v>9.8794528817303924</v>
      </c>
      <c r="AV20">
        <f t="shared" ca="1" si="12"/>
        <v>9.8833167334797878</v>
      </c>
      <c r="AW20">
        <f t="shared" ca="1" si="12"/>
        <v>9.8771030585542441</v>
      </c>
      <c r="AX20">
        <f t="shared" ca="1" si="12"/>
        <v>9.8796484813196344</v>
      </c>
      <c r="AY20">
        <f t="shared" ca="1" si="12"/>
        <v>9.8832407011310845</v>
      </c>
      <c r="AZ20">
        <f t="shared" ca="1" si="12"/>
        <v>9.8768351123543958</v>
      </c>
      <c r="BA20">
        <f t="shared" ca="1" si="12"/>
        <v>9.8810018631975165</v>
      </c>
      <c r="BB20">
        <f t="shared" ca="1" si="12"/>
        <v>9.8819747080353153</v>
      </c>
      <c r="BC20">
        <f t="shared" ca="1" si="12"/>
        <v>9.8782189999141359</v>
      </c>
      <c r="BD20">
        <f t="shared" ca="1" si="12"/>
        <v>9.8790955397242239</v>
      </c>
      <c r="BE20">
        <f t="shared" ca="1" si="12"/>
        <v>9.8837614812728773</v>
      </c>
      <c r="BF20">
        <f t="shared" ca="1" si="12"/>
        <v>9.8758742160998665</v>
      </c>
      <c r="BG20">
        <f t="shared" ca="1" si="12"/>
        <v>9.8788308130832032</v>
      </c>
      <c r="BH20">
        <f t="shared" ca="1" si="12"/>
        <v>9.8829558790004199</v>
      </c>
      <c r="BI20">
        <f t="shared" ca="1" si="12"/>
        <v>9.8735812776714873</v>
      </c>
      <c r="BJ20">
        <f t="shared" ca="1" si="12"/>
        <v>9.8778901136731143</v>
      </c>
      <c r="BK20">
        <f t="shared" ca="1" si="12"/>
        <v>9.8793999284387315</v>
      </c>
      <c r="BL20">
        <f t="shared" ca="1" si="12"/>
        <v>9.8762338856958056</v>
      </c>
      <c r="BM20">
        <f t="shared" ca="1" si="12"/>
        <v>9.8787498054798277</v>
      </c>
      <c r="BN20">
        <f t="shared" ref="BN20:DY23" ca="1" si="19">$B7*EXP(($I7-$J8-($H7^2)/2)*(1/52)+$H7*SQRT(1/52)*_xlfn.NORM.INV(RAND(),0,1))</f>
        <v>9.8739205893343058</v>
      </c>
      <c r="BO20">
        <f t="shared" ca="1" si="19"/>
        <v>9.8781355881663515</v>
      </c>
      <c r="BP20">
        <f t="shared" ca="1" si="19"/>
        <v>9.8753605316484023</v>
      </c>
      <c r="BQ20">
        <f t="shared" ca="1" si="19"/>
        <v>9.8806207785936078</v>
      </c>
      <c r="BR20">
        <f t="shared" ca="1" si="19"/>
        <v>9.8710324130847216</v>
      </c>
      <c r="BS20">
        <f t="shared" ca="1" si="19"/>
        <v>9.8750522498779922</v>
      </c>
      <c r="BT20">
        <f t="shared" ca="1" si="19"/>
        <v>9.8755668566808552</v>
      </c>
      <c r="BU20">
        <f t="shared" ca="1" si="19"/>
        <v>9.8771776427794062</v>
      </c>
      <c r="BV20">
        <f t="shared" ca="1" si="19"/>
        <v>9.8735560739987633</v>
      </c>
      <c r="BW20">
        <f t="shared" ca="1" si="19"/>
        <v>9.8790105221860873</v>
      </c>
      <c r="BX20">
        <f t="shared" ca="1" si="19"/>
        <v>9.8770034702095924</v>
      </c>
      <c r="BY20">
        <f t="shared" ca="1" si="19"/>
        <v>9.8733806513108391</v>
      </c>
      <c r="BZ20">
        <f t="shared" ca="1" si="19"/>
        <v>9.8812648967378056</v>
      </c>
      <c r="CA20">
        <f t="shared" ca="1" si="19"/>
        <v>9.8779749675070594</v>
      </c>
      <c r="CB20">
        <f t="shared" ca="1" si="19"/>
        <v>9.8765223039858085</v>
      </c>
      <c r="CC20">
        <f t="shared" ca="1" si="19"/>
        <v>9.8772433077385866</v>
      </c>
      <c r="CD20">
        <f t="shared" ca="1" si="19"/>
        <v>9.8815758033468413</v>
      </c>
      <c r="CE20">
        <f t="shared" ca="1" si="19"/>
        <v>9.8795894825581758</v>
      </c>
      <c r="CF20">
        <f t="shared" ca="1" si="19"/>
        <v>9.8720088236457606</v>
      </c>
      <c r="CG20">
        <f t="shared" ca="1" si="19"/>
        <v>9.8745531709909251</v>
      </c>
      <c r="CH20">
        <f t="shared" ca="1" si="19"/>
        <v>9.8794442150725406</v>
      </c>
      <c r="CI20">
        <f t="shared" ca="1" si="19"/>
        <v>9.8767584723374284</v>
      </c>
      <c r="CJ20">
        <f t="shared" ca="1" si="19"/>
        <v>9.877483444017356</v>
      </c>
      <c r="CK20">
        <f t="shared" ca="1" si="19"/>
        <v>9.8794049388259317</v>
      </c>
      <c r="CL20">
        <f t="shared" ca="1" si="19"/>
        <v>9.8749756706302776</v>
      </c>
      <c r="CM20">
        <f t="shared" ca="1" si="19"/>
        <v>9.8760763250831722</v>
      </c>
      <c r="CN20">
        <f t="shared" ca="1" si="19"/>
        <v>9.8782335617071215</v>
      </c>
      <c r="CO20">
        <f t="shared" ca="1" si="19"/>
        <v>9.8758581244753465</v>
      </c>
      <c r="CP20">
        <f t="shared" ca="1" si="19"/>
        <v>9.8794827524148019</v>
      </c>
      <c r="CQ20">
        <f t="shared" ca="1" si="19"/>
        <v>9.8757529184137329</v>
      </c>
      <c r="CR20">
        <f t="shared" ca="1" si="19"/>
        <v>9.8778113697298728</v>
      </c>
      <c r="CS20">
        <f t="shared" ca="1" si="19"/>
        <v>9.8804652347324051</v>
      </c>
      <c r="CT20">
        <f t="shared" ca="1" si="19"/>
        <v>9.8815461191342155</v>
      </c>
      <c r="CU20">
        <f t="shared" ca="1" si="19"/>
        <v>9.8796903297534318</v>
      </c>
      <c r="CV20">
        <f t="shared" ca="1" si="19"/>
        <v>9.8748416188480697</v>
      </c>
      <c r="CW20">
        <f t="shared" ca="1" si="19"/>
        <v>9.8738177157545923</v>
      </c>
      <c r="CX20">
        <f t="shared" ca="1" si="19"/>
        <v>9.879636683211606</v>
      </c>
      <c r="CY20">
        <f t="shared" ca="1" si="19"/>
        <v>9.8769850771769327</v>
      </c>
      <c r="CZ20">
        <f t="shared" ca="1" si="19"/>
        <v>9.8768968966189643</v>
      </c>
      <c r="DA20">
        <f t="shared" ca="1" si="19"/>
        <v>9.877881929016727</v>
      </c>
      <c r="DB20">
        <f t="shared" ca="1" si="19"/>
        <v>9.8787049074308229</v>
      </c>
      <c r="DC20">
        <f t="shared" ca="1" si="19"/>
        <v>9.8825056864481358</v>
      </c>
      <c r="DD20">
        <f t="shared" ca="1" si="19"/>
        <v>9.8789585047367243</v>
      </c>
      <c r="DE20">
        <f t="shared" ca="1" si="19"/>
        <v>9.8776435148540127</v>
      </c>
      <c r="DF20">
        <f t="shared" ca="1" si="19"/>
        <v>9.8792686377044632</v>
      </c>
      <c r="DG20">
        <f t="shared" ca="1" si="19"/>
        <v>9.8786212972032974</v>
      </c>
      <c r="DH20">
        <f t="shared" ca="1" si="19"/>
        <v>9.8797228378639801</v>
      </c>
      <c r="DI20">
        <f t="shared" ca="1" si="19"/>
        <v>9.8716986684980554</v>
      </c>
      <c r="DJ20">
        <f t="shared" ca="1" si="19"/>
        <v>9.8767374872335587</v>
      </c>
      <c r="DK20">
        <f t="shared" ca="1" si="19"/>
        <v>9.8760317020112804</v>
      </c>
      <c r="DL20">
        <f t="shared" ca="1" si="19"/>
        <v>9.8766709284911531</v>
      </c>
      <c r="DM20">
        <f t="shared" ca="1" si="19"/>
        <v>9.8741622225971426</v>
      </c>
      <c r="DN20">
        <f t="shared" ca="1" si="19"/>
        <v>9.8781528933091689</v>
      </c>
      <c r="DO20">
        <f t="shared" ca="1" si="19"/>
        <v>9.8788565042651104</v>
      </c>
      <c r="DP20">
        <f t="shared" ca="1" si="19"/>
        <v>9.8781492905411934</v>
      </c>
      <c r="DQ20">
        <f t="shared" ca="1" si="19"/>
        <v>9.8825777821032474</v>
      </c>
      <c r="DR20">
        <f t="shared" ca="1" si="19"/>
        <v>9.8778930085587486</v>
      </c>
      <c r="DS20">
        <f t="shared" ca="1" si="19"/>
        <v>9.8781886141221626</v>
      </c>
      <c r="DT20">
        <f t="shared" ca="1" si="19"/>
        <v>9.8815515498852076</v>
      </c>
      <c r="DU20">
        <f t="shared" ca="1" si="19"/>
        <v>9.8769135560956247</v>
      </c>
      <c r="DV20">
        <f t="shared" ca="1" si="19"/>
        <v>9.8793674459512264</v>
      </c>
      <c r="DW20">
        <f t="shared" ca="1" si="19"/>
        <v>9.8791034159929634</v>
      </c>
      <c r="DX20">
        <f t="shared" ca="1" si="19"/>
        <v>9.8775621283823245</v>
      </c>
      <c r="DY20">
        <f t="shared" ca="1" si="19"/>
        <v>9.8769031474391316</v>
      </c>
      <c r="DZ20">
        <f t="shared" ca="1" si="16"/>
        <v>9.8794467330614673</v>
      </c>
      <c r="EA20">
        <f t="shared" ca="1" si="13"/>
        <v>9.8820030988939713</v>
      </c>
      <c r="EB20">
        <f t="shared" ca="1" si="13"/>
        <v>9.8806860965487022</v>
      </c>
      <c r="EC20">
        <f t="shared" ca="1" si="13"/>
        <v>9.8786212059876473</v>
      </c>
      <c r="ED20">
        <f t="shared" ca="1" si="13"/>
        <v>9.8777732388176496</v>
      </c>
      <c r="EE20">
        <f t="shared" ca="1" si="13"/>
        <v>9.8777558189195638</v>
      </c>
      <c r="EF20">
        <f t="shared" ca="1" si="13"/>
        <v>9.8785625446038061</v>
      </c>
      <c r="EG20">
        <f t="shared" ca="1" si="13"/>
        <v>9.8801960834269007</v>
      </c>
      <c r="EH20">
        <f t="shared" ca="1" si="13"/>
        <v>9.8797653241592833</v>
      </c>
      <c r="EI20">
        <f t="shared" ca="1" si="13"/>
        <v>9.8808349467592844</v>
      </c>
      <c r="EJ20">
        <f t="shared" ca="1" si="13"/>
        <v>9.8752720736237052</v>
      </c>
      <c r="EK20">
        <f t="shared" ca="1" si="13"/>
        <v>9.8781446639123747</v>
      </c>
      <c r="EL20">
        <f t="shared" ca="1" si="13"/>
        <v>9.8821242002318641</v>
      </c>
      <c r="EM20">
        <f t="shared" ca="1" si="13"/>
        <v>9.87531031688256</v>
      </c>
      <c r="EN20">
        <f t="shared" ca="1" si="13"/>
        <v>9.8826449332376516</v>
      </c>
      <c r="EO20">
        <f t="shared" ca="1" si="13"/>
        <v>9.8773266090298701</v>
      </c>
      <c r="EP20">
        <f t="shared" ca="1" si="13"/>
        <v>9.8738004996266397</v>
      </c>
      <c r="EQ20">
        <f t="shared" ca="1" si="13"/>
        <v>9.8771464484837956</v>
      </c>
      <c r="ER20">
        <f t="shared" ca="1" si="13"/>
        <v>9.8808204066260892</v>
      </c>
      <c r="ES20">
        <f t="shared" ca="1" si="13"/>
        <v>9.8800912584804621</v>
      </c>
      <c r="ET20">
        <f t="shared" ca="1" si="13"/>
        <v>9.8764746741409208</v>
      </c>
      <c r="EU20">
        <f t="shared" ca="1" si="13"/>
        <v>9.8782546517455412</v>
      </c>
      <c r="EV20">
        <f t="shared" ca="1" si="13"/>
        <v>9.8784375818380585</v>
      </c>
      <c r="EW20">
        <f t="shared" ca="1" si="13"/>
        <v>9.8840098413882291</v>
      </c>
      <c r="EX20">
        <f t="shared" ca="1" si="13"/>
        <v>9.8809746463767798</v>
      </c>
      <c r="EY20">
        <f t="shared" ca="1" si="13"/>
        <v>9.8780821311927998</v>
      </c>
      <c r="EZ20">
        <f t="shared" ca="1" si="13"/>
        <v>9.8741085258036261</v>
      </c>
      <c r="FA20">
        <f t="shared" ca="1" si="13"/>
        <v>9.8761955523041909</v>
      </c>
      <c r="FB20">
        <f t="shared" ca="1" si="13"/>
        <v>9.8771097411077591</v>
      </c>
      <c r="FC20">
        <f t="shared" ca="1" si="13"/>
        <v>9.8850393738576869</v>
      </c>
      <c r="FD20">
        <f t="shared" ca="1" si="13"/>
        <v>9.8794226232771027</v>
      </c>
      <c r="FE20">
        <f t="shared" ca="1" si="13"/>
        <v>9.8797329186629064</v>
      </c>
      <c r="FF20">
        <f t="shared" ca="1" si="13"/>
        <v>9.880897097694854</v>
      </c>
      <c r="FG20">
        <f t="shared" ca="1" si="13"/>
        <v>9.8788568573776203</v>
      </c>
      <c r="FH20">
        <f t="shared" ca="1" si="13"/>
        <v>9.8747749646839189</v>
      </c>
      <c r="FI20">
        <f t="shared" ca="1" si="13"/>
        <v>9.8738314441386539</v>
      </c>
      <c r="FJ20">
        <f t="shared" ca="1" si="13"/>
        <v>9.8797183360604919</v>
      </c>
      <c r="FK20">
        <f t="shared" ca="1" si="13"/>
        <v>9.8765878783175332</v>
      </c>
      <c r="FL20">
        <f t="shared" ca="1" si="13"/>
        <v>9.8736708349141598</v>
      </c>
      <c r="FM20">
        <f t="shared" ca="1" si="13"/>
        <v>9.8777168958669002</v>
      </c>
      <c r="FN20">
        <f t="shared" ca="1" si="13"/>
        <v>9.8755556462163909</v>
      </c>
      <c r="FO20">
        <f t="shared" ca="1" si="13"/>
        <v>9.8720231797995268</v>
      </c>
      <c r="FP20">
        <f t="shared" ca="1" si="13"/>
        <v>9.8752925747145817</v>
      </c>
      <c r="FQ20">
        <f t="shared" ca="1" si="13"/>
        <v>9.8776737651642161</v>
      </c>
      <c r="FR20">
        <f t="shared" ca="1" si="13"/>
        <v>9.8778419138374325</v>
      </c>
      <c r="FS20">
        <f t="shared" ca="1" si="13"/>
        <v>9.880136326618242</v>
      </c>
      <c r="FT20">
        <f t="shared" ca="1" si="13"/>
        <v>9.8821767052655147</v>
      </c>
      <c r="FU20">
        <f t="shared" ca="1" si="13"/>
        <v>9.8765675797498709</v>
      </c>
      <c r="FV20">
        <f t="shared" ca="1" si="13"/>
        <v>9.8801593539206696</v>
      </c>
      <c r="FW20">
        <f t="shared" ca="1" si="13"/>
        <v>9.8774512286011174</v>
      </c>
      <c r="FX20">
        <f t="shared" ca="1" si="13"/>
        <v>9.874426352890513</v>
      </c>
      <c r="FY20">
        <f t="shared" ca="1" si="13"/>
        <v>9.8838020410524816</v>
      </c>
      <c r="FZ20">
        <f t="shared" ca="1" si="13"/>
        <v>9.8763197512584977</v>
      </c>
      <c r="GA20">
        <f t="shared" ca="1" si="13"/>
        <v>9.8738092520152581</v>
      </c>
      <c r="GB20">
        <f t="shared" ca="1" si="13"/>
        <v>9.8797902500131478</v>
      </c>
      <c r="GC20">
        <f t="shared" ca="1" si="13"/>
        <v>9.8781743060871268</v>
      </c>
      <c r="GD20">
        <f t="shared" ca="1" si="13"/>
        <v>9.8778340362146633</v>
      </c>
      <c r="GE20">
        <f t="shared" ca="1" si="13"/>
        <v>9.8760587684353141</v>
      </c>
      <c r="GF20">
        <f t="shared" ca="1" si="13"/>
        <v>9.879310013796669</v>
      </c>
      <c r="GG20">
        <f t="shared" ca="1" si="13"/>
        <v>9.8790088518005597</v>
      </c>
      <c r="GH20">
        <f t="shared" ca="1" si="13"/>
        <v>9.8771904683689584</v>
      </c>
      <c r="GI20">
        <f t="shared" ca="1" si="13"/>
        <v>9.8790921157711455</v>
      </c>
      <c r="GJ20">
        <f t="shared" ca="1" si="13"/>
        <v>9.882405497335883</v>
      </c>
      <c r="GK20">
        <f t="shared" ca="1" si="13"/>
        <v>9.8792781226090529</v>
      </c>
      <c r="GL20">
        <f t="shared" ca="1" si="5"/>
        <v>9.8786257881108739</v>
      </c>
      <c r="GM20">
        <f t="shared" ca="1" si="17"/>
        <v>9.880931805305055</v>
      </c>
      <c r="GN20">
        <f t="shared" ca="1" si="17"/>
        <v>9.8781876296958693</v>
      </c>
      <c r="GO20">
        <f t="shared" ca="1" si="17"/>
        <v>9.8776545308627579</v>
      </c>
      <c r="GP20">
        <f t="shared" ca="1" si="17"/>
        <v>9.8828254225201349</v>
      </c>
      <c r="GQ20">
        <f t="shared" ca="1" si="17"/>
        <v>9.8865500244186677</v>
      </c>
      <c r="GR20">
        <f t="shared" ca="1" si="17"/>
        <v>9.8757457933799984</v>
      </c>
      <c r="GS20">
        <f t="shared" ca="1" si="17"/>
        <v>9.8759334567513601</v>
      </c>
      <c r="GT20">
        <f t="shared" ca="1" si="17"/>
        <v>9.8787606694732748</v>
      </c>
      <c r="GU20">
        <f t="shared" ca="1" si="17"/>
        <v>9.8773930860423853</v>
      </c>
      <c r="GV20">
        <f t="shared" ca="1" si="17"/>
        <v>9.8794358042356176</v>
      </c>
      <c r="GW20">
        <f t="shared" ca="1" si="17"/>
        <v>9.8761370417654089</v>
      </c>
      <c r="GX20">
        <f t="shared" ca="1" si="17"/>
        <v>9.878886161671387</v>
      </c>
      <c r="GY20">
        <f t="shared" ca="1" si="17"/>
        <v>9.8792277729137297</v>
      </c>
      <c r="GZ20">
        <f t="shared" ca="1" si="17"/>
        <v>9.8748876592852266</v>
      </c>
      <c r="HA20">
        <f t="shared" ca="1" si="17"/>
        <v>9.8801887339426724</v>
      </c>
      <c r="HB20">
        <f t="shared" ca="1" si="17"/>
        <v>9.8805250567211704</v>
      </c>
      <c r="HC20">
        <f t="shared" ca="1" si="17"/>
        <v>9.8739149761793303</v>
      </c>
      <c r="HD20">
        <f t="shared" ca="1" si="17"/>
        <v>9.8781953467617001</v>
      </c>
      <c r="HE20">
        <f t="shared" ca="1" si="17"/>
        <v>9.8777660772824856</v>
      </c>
      <c r="HF20">
        <f t="shared" ca="1" si="17"/>
        <v>9.8797894048812882</v>
      </c>
      <c r="HG20">
        <f t="shared" ca="1" si="17"/>
        <v>9.8825379242953222</v>
      </c>
      <c r="HH20">
        <f t="shared" ca="1" si="17"/>
        <v>9.8776684541161437</v>
      </c>
      <c r="HI20">
        <f t="shared" ca="1" si="17"/>
        <v>9.878345259407185</v>
      </c>
      <c r="HJ20">
        <f t="shared" ca="1" si="17"/>
        <v>9.8796830830358022</v>
      </c>
      <c r="HK20">
        <f t="shared" ca="1" si="17"/>
        <v>9.8793570984766728</v>
      </c>
      <c r="HL20">
        <f t="shared" ca="1" si="17"/>
        <v>9.8817898875712658</v>
      </c>
      <c r="HM20">
        <f t="shared" ca="1" si="17"/>
        <v>9.8795989013973529</v>
      </c>
      <c r="HN20">
        <f t="shared" ca="1" si="17"/>
        <v>9.8761558856555887</v>
      </c>
      <c r="HO20">
        <f t="shared" ca="1" si="17"/>
        <v>9.8783405768078065</v>
      </c>
      <c r="HP20">
        <f t="shared" ca="1" si="17"/>
        <v>9.8778695433906254</v>
      </c>
      <c r="HQ20">
        <f t="shared" ca="1" si="17"/>
        <v>9.8814027327533136</v>
      </c>
      <c r="HR20">
        <f t="shared" ca="1" si="17"/>
        <v>9.8799490623721162</v>
      </c>
      <c r="HS20">
        <f t="shared" ca="1" si="17"/>
        <v>9.8723164646238093</v>
      </c>
      <c r="HT20">
        <f t="shared" ca="1" si="17"/>
        <v>9.8817679994351924</v>
      </c>
      <c r="HU20">
        <f t="shared" ca="1" si="17"/>
        <v>9.8791698803930981</v>
      </c>
      <c r="HV20">
        <f t="shared" ca="1" si="17"/>
        <v>9.8746842118235154</v>
      </c>
      <c r="HW20">
        <f t="shared" ca="1" si="17"/>
        <v>9.8797561880855937</v>
      </c>
      <c r="HX20">
        <f t="shared" ca="1" si="17"/>
        <v>9.877886839511488</v>
      </c>
      <c r="HY20">
        <f t="shared" ca="1" si="17"/>
        <v>9.8781174549064872</v>
      </c>
      <c r="HZ20">
        <f t="shared" ca="1" si="17"/>
        <v>9.8802534052569015</v>
      </c>
      <c r="IA20">
        <f t="shared" ca="1" si="17"/>
        <v>9.8776901492364004</v>
      </c>
      <c r="IB20">
        <f t="shared" ca="1" si="17"/>
        <v>9.8807647385342054</v>
      </c>
      <c r="IC20">
        <f t="shared" ca="1" si="17"/>
        <v>9.8808494368921043</v>
      </c>
      <c r="ID20">
        <f t="shared" ca="1" si="17"/>
        <v>9.8769538037979441</v>
      </c>
      <c r="IE20">
        <f t="shared" ca="1" si="17"/>
        <v>9.8809894401743232</v>
      </c>
      <c r="IF20">
        <f t="shared" ca="1" si="17"/>
        <v>9.8777410763031988</v>
      </c>
      <c r="IG20">
        <f t="shared" ca="1" si="17"/>
        <v>9.8757463939405632</v>
      </c>
      <c r="IH20">
        <f t="shared" ca="1" si="17"/>
        <v>9.8786519790287013</v>
      </c>
      <c r="II20">
        <f t="shared" ca="1" si="17"/>
        <v>9.8739562870258002</v>
      </c>
      <c r="IJ20">
        <f t="shared" ca="1" si="17"/>
        <v>9.8761937178793069</v>
      </c>
      <c r="IK20">
        <f t="shared" ca="1" si="17"/>
        <v>9.8735999367089402</v>
      </c>
      <c r="IL20">
        <f t="shared" ca="1" si="17"/>
        <v>9.8786959148135729</v>
      </c>
      <c r="IM20">
        <f t="shared" ca="1" si="17"/>
        <v>9.8781506651790689</v>
      </c>
      <c r="IN20">
        <f t="shared" ca="1" si="17"/>
        <v>9.8757655384111462</v>
      </c>
      <c r="IO20">
        <f t="shared" ca="1" si="17"/>
        <v>9.8762394199725403</v>
      </c>
      <c r="IP20">
        <f t="shared" ca="1" si="17"/>
        <v>9.8789531736128993</v>
      </c>
      <c r="IQ20">
        <f t="shared" ca="1" si="17"/>
        <v>9.8783176130451604</v>
      </c>
      <c r="IR20">
        <f t="shared" ca="1" si="17"/>
        <v>9.8809507829496255</v>
      </c>
      <c r="IS20">
        <f t="shared" ca="1" si="17"/>
        <v>9.8774880035636183</v>
      </c>
      <c r="IT20">
        <f t="shared" ca="1" si="17"/>
        <v>9.8790170247074229</v>
      </c>
      <c r="IU20">
        <f t="shared" ca="1" si="17"/>
        <v>9.8781991786743379</v>
      </c>
      <c r="IV20">
        <f t="shared" ca="1" si="17"/>
        <v>9.8788050211210745</v>
      </c>
      <c r="IW20">
        <f t="shared" ca="1" si="17"/>
        <v>9.878410090624536</v>
      </c>
      <c r="IX20">
        <f t="shared" ca="1" si="17"/>
        <v>9.8793297370279518</v>
      </c>
      <c r="IY20">
        <f t="shared" ca="1" si="14"/>
        <v>9.8773078053998962</v>
      </c>
      <c r="IZ20">
        <f t="shared" ca="1" si="14"/>
        <v>9.875075277682404</v>
      </c>
      <c r="JA20">
        <f t="shared" ca="1" si="14"/>
        <v>9.8773205543578033</v>
      </c>
      <c r="JB20">
        <f t="shared" ca="1" si="14"/>
        <v>9.8751663569847832</v>
      </c>
      <c r="JC20">
        <f t="shared" ca="1" si="14"/>
        <v>9.8789037516087017</v>
      </c>
      <c r="JD20">
        <f t="shared" ca="1" si="14"/>
        <v>9.8793341824433263</v>
      </c>
      <c r="JE20">
        <f t="shared" ca="1" si="14"/>
        <v>9.8769279180544256</v>
      </c>
      <c r="JF20">
        <f t="shared" ca="1" si="14"/>
        <v>9.8779075469368518</v>
      </c>
      <c r="JG20">
        <f t="shared" ca="1" si="14"/>
        <v>9.8745031081477315</v>
      </c>
      <c r="JH20">
        <f t="shared" ca="1" si="14"/>
        <v>9.8806391214099047</v>
      </c>
      <c r="JI20">
        <f t="shared" ca="1" si="14"/>
        <v>9.8755773755674419</v>
      </c>
      <c r="JJ20">
        <f t="shared" ca="1" si="14"/>
        <v>9.8813731494186712</v>
      </c>
      <c r="JK20">
        <f t="shared" ca="1" si="14"/>
        <v>9.8826169938330839</v>
      </c>
      <c r="JL20">
        <f t="shared" ca="1" si="14"/>
        <v>9.8785800878170669</v>
      </c>
      <c r="JM20">
        <f t="shared" ca="1" si="14"/>
        <v>9.876073123506627</v>
      </c>
      <c r="JN20">
        <f t="shared" ca="1" si="14"/>
        <v>9.8807307392976433</v>
      </c>
      <c r="JO20">
        <f t="shared" ca="1" si="14"/>
        <v>9.875814188177225</v>
      </c>
      <c r="JP20">
        <f t="shared" ca="1" si="14"/>
        <v>9.8788766238682157</v>
      </c>
      <c r="JQ20">
        <f t="shared" ca="1" si="14"/>
        <v>9.8796124632636921</v>
      </c>
      <c r="JR20">
        <f t="shared" ca="1" si="14"/>
        <v>9.87728222725862</v>
      </c>
      <c r="JS20">
        <f t="shared" ca="1" si="14"/>
        <v>9.8743897732343733</v>
      </c>
      <c r="JT20">
        <f t="shared" ca="1" si="14"/>
        <v>9.8773145027464597</v>
      </c>
      <c r="JU20">
        <f t="shared" ca="1" si="14"/>
        <v>9.8764116659763452</v>
      </c>
      <c r="JV20">
        <f t="shared" ca="1" si="14"/>
        <v>9.8790061005332159</v>
      </c>
      <c r="JW20">
        <f t="shared" ca="1" si="14"/>
        <v>9.8803095786475641</v>
      </c>
      <c r="JX20">
        <f t="shared" ca="1" si="14"/>
        <v>9.8794371851722822</v>
      </c>
      <c r="JY20">
        <f t="shared" ca="1" si="14"/>
        <v>9.8749732667575305</v>
      </c>
      <c r="JZ20">
        <f t="shared" ca="1" si="14"/>
        <v>9.8792462836690227</v>
      </c>
      <c r="KA20">
        <f t="shared" ca="1" si="14"/>
        <v>9.8766482735114547</v>
      </c>
      <c r="KB20">
        <f t="shared" ca="1" si="14"/>
        <v>9.8734626246357635</v>
      </c>
      <c r="KC20">
        <f t="shared" ca="1" si="14"/>
        <v>9.8781434590672763</v>
      </c>
      <c r="KD20">
        <f t="shared" ca="1" si="14"/>
        <v>9.8776272635509148</v>
      </c>
      <c r="KE20">
        <f t="shared" ca="1" si="14"/>
        <v>9.869264149498024</v>
      </c>
      <c r="KF20">
        <f t="shared" ca="1" si="14"/>
        <v>9.876870132948472</v>
      </c>
      <c r="KG20">
        <f t="shared" ca="1" si="14"/>
        <v>9.8775097481711569</v>
      </c>
      <c r="KH20">
        <f t="shared" ca="1" si="14"/>
        <v>9.8779663510228382</v>
      </c>
      <c r="KI20">
        <f t="shared" ca="1" si="14"/>
        <v>9.8805784870372442</v>
      </c>
      <c r="KJ20">
        <f t="shared" ca="1" si="14"/>
        <v>9.8758704245511097</v>
      </c>
      <c r="KK20">
        <f t="shared" ca="1" si="14"/>
        <v>9.8756964088636572</v>
      </c>
      <c r="KL20">
        <f t="shared" ca="1" si="14"/>
        <v>9.8774810688185131</v>
      </c>
      <c r="KM20">
        <f t="shared" ca="1" si="14"/>
        <v>9.8769758400204566</v>
      </c>
      <c r="KN20">
        <f t="shared" ca="1" si="14"/>
        <v>9.879522213786851</v>
      </c>
      <c r="KO20">
        <f t="shared" ca="1" si="14"/>
        <v>9.8749710217237343</v>
      </c>
      <c r="KP20">
        <f t="shared" ca="1" si="14"/>
        <v>9.8766618503467445</v>
      </c>
      <c r="KQ20">
        <f t="shared" ca="1" si="14"/>
        <v>9.8733325259715787</v>
      </c>
      <c r="KR20">
        <f t="shared" ca="1" si="14"/>
        <v>9.8773084959162034</v>
      </c>
      <c r="KS20">
        <f t="shared" ca="1" si="14"/>
        <v>9.8778061933766779</v>
      </c>
      <c r="KT20">
        <f t="shared" ca="1" si="14"/>
        <v>9.8795724557747384</v>
      </c>
      <c r="KU20">
        <f t="shared" ca="1" si="14"/>
        <v>9.8745073074870469</v>
      </c>
      <c r="KV20">
        <f t="shared" ca="1" si="14"/>
        <v>9.8802755378145655</v>
      </c>
      <c r="KW20">
        <f t="shared" ca="1" si="14"/>
        <v>9.8774387802062922</v>
      </c>
      <c r="KX20">
        <f t="shared" ca="1" si="14"/>
        <v>9.8763777355590801</v>
      </c>
      <c r="KY20">
        <f t="shared" ca="1" si="14"/>
        <v>9.8753301863370471</v>
      </c>
      <c r="KZ20">
        <f t="shared" ca="1" si="14"/>
        <v>9.8751511322740075</v>
      </c>
      <c r="LA20">
        <f t="shared" ca="1" si="14"/>
        <v>9.8812602492471964</v>
      </c>
      <c r="LB20">
        <f t="shared" ca="1" si="14"/>
        <v>9.8797731896552889</v>
      </c>
      <c r="LC20">
        <f t="shared" ca="1" si="14"/>
        <v>9.8797462352178389</v>
      </c>
      <c r="LD20">
        <f t="shared" ca="1" si="14"/>
        <v>9.878903531083127</v>
      </c>
      <c r="LE20">
        <f t="shared" ca="1" si="14"/>
        <v>9.8825194771179223</v>
      </c>
      <c r="LF20">
        <f t="shared" ca="1" si="14"/>
        <v>9.8790781934820444</v>
      </c>
      <c r="LG20">
        <f t="shared" ca="1" si="14"/>
        <v>9.8805200470984982</v>
      </c>
      <c r="LH20">
        <f t="shared" ca="1" si="14"/>
        <v>9.8756349678504272</v>
      </c>
      <c r="LI20">
        <f t="shared" ca="1" si="14"/>
        <v>9.880319801903152</v>
      </c>
      <c r="LJ20">
        <f t="shared" ca="1" si="7"/>
        <v>9.8780982840287272</v>
      </c>
      <c r="LK20">
        <f t="shared" ca="1" si="18"/>
        <v>9.8810336508415784</v>
      </c>
      <c r="LL20">
        <f t="shared" ca="1" si="18"/>
        <v>9.8772963018173474</v>
      </c>
      <c r="LM20">
        <f t="shared" ca="1" si="18"/>
        <v>9.8786553133719988</v>
      </c>
      <c r="LN20">
        <f t="shared" ca="1" si="18"/>
        <v>9.8799844984970004</v>
      </c>
      <c r="LO20">
        <f t="shared" ca="1" si="18"/>
        <v>9.8784621745212746</v>
      </c>
      <c r="LP20">
        <f t="shared" ca="1" si="18"/>
        <v>9.8793868483925316</v>
      </c>
      <c r="LQ20">
        <f t="shared" ca="1" si="18"/>
        <v>9.8797047611141213</v>
      </c>
      <c r="LR20">
        <f t="shared" ca="1" si="18"/>
        <v>9.8784701473041618</v>
      </c>
      <c r="LS20">
        <f t="shared" ca="1" si="18"/>
        <v>9.8753137030284179</v>
      </c>
      <c r="LT20">
        <f t="shared" ca="1" si="18"/>
        <v>9.8861578332321667</v>
      </c>
      <c r="LU20">
        <f t="shared" ca="1" si="18"/>
        <v>9.8764829061794472</v>
      </c>
      <c r="LV20">
        <f t="shared" ca="1" si="18"/>
        <v>9.8826993268616121</v>
      </c>
      <c r="LW20">
        <f t="shared" ca="1" si="18"/>
        <v>9.8796033578320461</v>
      </c>
      <c r="LX20">
        <f t="shared" ca="1" si="18"/>
        <v>9.8808783581498201</v>
      </c>
      <c r="LY20">
        <f t="shared" ca="1" si="18"/>
        <v>9.8763525153064702</v>
      </c>
      <c r="LZ20">
        <f t="shared" ca="1" si="18"/>
        <v>9.8743940779554578</v>
      </c>
      <c r="MA20">
        <f t="shared" ca="1" si="18"/>
        <v>9.8829579382415833</v>
      </c>
      <c r="MB20">
        <f t="shared" ca="1" si="18"/>
        <v>9.8803324806750954</v>
      </c>
      <c r="MC20">
        <f t="shared" ca="1" si="18"/>
        <v>9.884742446886758</v>
      </c>
      <c r="MD20">
        <f t="shared" ca="1" si="18"/>
        <v>9.8814917362748496</v>
      </c>
      <c r="ME20">
        <f t="shared" ca="1" si="18"/>
        <v>9.877908890583571</v>
      </c>
      <c r="MF20">
        <f t="shared" ca="1" si="18"/>
        <v>9.8750531689705419</v>
      </c>
      <c r="MG20">
        <f t="shared" ca="1" si="18"/>
        <v>9.8776323270699375</v>
      </c>
      <c r="MH20">
        <f t="shared" ca="1" si="18"/>
        <v>9.8769910523079236</v>
      </c>
      <c r="MI20">
        <f t="shared" ca="1" si="18"/>
        <v>9.8764866455210978</v>
      </c>
      <c r="MJ20">
        <f t="shared" ca="1" si="18"/>
        <v>9.881030132242369</v>
      </c>
      <c r="MK20">
        <f t="shared" ca="1" si="18"/>
        <v>9.8820204338124498</v>
      </c>
      <c r="ML20">
        <f t="shared" ca="1" si="18"/>
        <v>9.8753102366306624</v>
      </c>
      <c r="MM20">
        <f t="shared" ca="1" si="18"/>
        <v>9.8763771280915158</v>
      </c>
      <c r="MN20">
        <f t="shared" ca="1" si="18"/>
        <v>9.8789861244261239</v>
      </c>
      <c r="MO20">
        <f t="shared" ca="1" si="18"/>
        <v>9.8783227015710757</v>
      </c>
      <c r="MP20">
        <f t="shared" ca="1" si="18"/>
        <v>9.8788867846982953</v>
      </c>
      <c r="MQ20">
        <f t="shared" ca="1" si="18"/>
        <v>9.8822979871382639</v>
      </c>
      <c r="MR20">
        <f t="shared" ca="1" si="18"/>
        <v>9.8836185672627828</v>
      </c>
      <c r="MS20">
        <f t="shared" ca="1" si="18"/>
        <v>9.8777376667128909</v>
      </c>
      <c r="MT20">
        <f t="shared" ca="1" si="18"/>
        <v>9.8783830888572322</v>
      </c>
      <c r="MU20">
        <f t="shared" ca="1" si="18"/>
        <v>9.8760099257247393</v>
      </c>
      <c r="MV20">
        <f t="shared" ca="1" si="18"/>
        <v>9.8740400490494622</v>
      </c>
      <c r="MW20">
        <f t="shared" ca="1" si="18"/>
        <v>9.8814306127722045</v>
      </c>
      <c r="MX20">
        <f t="shared" ca="1" si="18"/>
        <v>9.8777516871179092</v>
      </c>
      <c r="MY20">
        <f t="shared" ca="1" si="18"/>
        <v>9.8779523575569339</v>
      </c>
      <c r="MZ20">
        <f t="shared" ca="1" si="18"/>
        <v>9.8813081101580718</v>
      </c>
      <c r="NA20">
        <f t="shared" ca="1" si="18"/>
        <v>9.8755324327452154</v>
      </c>
      <c r="NB20">
        <f t="shared" ca="1" si="18"/>
        <v>9.8846409943651281</v>
      </c>
      <c r="NC20">
        <f t="shared" ca="1" si="18"/>
        <v>9.8782972817844783</v>
      </c>
      <c r="ND20">
        <f t="shared" ca="1" si="18"/>
        <v>9.8799180487392704</v>
      </c>
      <c r="NE20">
        <f t="shared" ca="1" si="18"/>
        <v>9.881124507328126</v>
      </c>
      <c r="NF20">
        <f t="shared" ca="1" si="18"/>
        <v>9.8787272771381769</v>
      </c>
      <c r="NG20">
        <f t="shared" ca="1" si="18"/>
        <v>9.8755187873658166</v>
      </c>
      <c r="NH20">
        <f t="shared" ca="1" si="18"/>
        <v>9.8786066924466578</v>
      </c>
      <c r="NI20">
        <f t="shared" ca="1" si="18"/>
        <v>9.8785166464610974</v>
      </c>
      <c r="NJ20">
        <f t="shared" ca="1" si="18"/>
        <v>9.8767639788151698</v>
      </c>
      <c r="NK20">
        <f t="shared" ca="1" si="18"/>
        <v>9.8809521621782057</v>
      </c>
      <c r="NL20">
        <f t="shared" ca="1" si="18"/>
        <v>9.883366945796082</v>
      </c>
      <c r="NM20">
        <f t="shared" ca="1" si="18"/>
        <v>9.8746544482639962</v>
      </c>
      <c r="NN20">
        <f t="shared" ca="1" si="18"/>
        <v>9.8780858523163531</v>
      </c>
      <c r="NO20">
        <f t="shared" ca="1" si="18"/>
        <v>9.8786073321163244</v>
      </c>
      <c r="NP20">
        <f t="shared" ca="1" si="18"/>
        <v>9.8794944521628523</v>
      </c>
      <c r="NQ20">
        <f t="shared" ca="1" si="18"/>
        <v>9.8772632336516768</v>
      </c>
      <c r="NR20">
        <f t="shared" ca="1" si="18"/>
        <v>9.8748083779583773</v>
      </c>
      <c r="NS20">
        <f t="shared" ca="1" si="18"/>
        <v>9.8749605796859576</v>
      </c>
      <c r="NT20">
        <f t="shared" ca="1" si="18"/>
        <v>9.8788704823004778</v>
      </c>
      <c r="NU20">
        <f t="shared" ca="1" si="18"/>
        <v>9.8740450552522088</v>
      </c>
      <c r="NV20">
        <f t="shared" ca="1" si="18"/>
        <v>9.878941118007635</v>
      </c>
      <c r="NW20">
        <f t="shared" ca="1" si="15"/>
        <v>9.8762381606844478</v>
      </c>
      <c r="NX20">
        <f t="shared" ca="1" si="15"/>
        <v>9.882722899522884</v>
      </c>
      <c r="NY20">
        <f t="shared" ca="1" si="15"/>
        <v>9.872161631980287</v>
      </c>
      <c r="NZ20">
        <f t="shared" ca="1" si="15"/>
        <v>9.8794826160153857</v>
      </c>
      <c r="OA20">
        <f t="shared" ca="1" si="15"/>
        <v>9.8817663172440842</v>
      </c>
      <c r="OB20">
        <f t="shared" ca="1" si="15"/>
        <v>9.8816644712603825</v>
      </c>
      <c r="OC20">
        <f t="shared" ca="1" si="15"/>
        <v>9.8800966892298234</v>
      </c>
      <c r="OD20">
        <f t="shared" ca="1" si="15"/>
        <v>9.8818859176648779</v>
      </c>
      <c r="OE20">
        <f t="shared" ca="1" si="15"/>
        <v>9.8772285884828648</v>
      </c>
      <c r="OF20">
        <f t="shared" ca="1" si="15"/>
        <v>9.8785728949179816</v>
      </c>
      <c r="OG20">
        <f t="shared" ca="1" si="15"/>
        <v>9.8751691715256094</v>
      </c>
      <c r="OH20">
        <f t="shared" ca="1" si="15"/>
        <v>9.8777821521987406</v>
      </c>
      <c r="OI20">
        <f t="shared" ca="1" si="15"/>
        <v>9.878357666112846</v>
      </c>
      <c r="OJ20">
        <f t="shared" ca="1" si="15"/>
        <v>9.876570076012305</v>
      </c>
      <c r="OK20">
        <f t="shared" ca="1" si="15"/>
        <v>9.878988470924897</v>
      </c>
      <c r="OL20">
        <f t="shared" ca="1" si="15"/>
        <v>9.8800920631647902</v>
      </c>
      <c r="OM20">
        <f t="shared" ca="1" si="15"/>
        <v>9.8816778293469927</v>
      </c>
      <c r="ON20">
        <f t="shared" ca="1" si="15"/>
        <v>9.8792046289127473</v>
      </c>
      <c r="OO20">
        <f t="shared" ca="1" si="15"/>
        <v>9.8803324694167571</v>
      </c>
      <c r="OP20">
        <f t="shared" ca="1" si="15"/>
        <v>9.8713392515837661</v>
      </c>
      <c r="OQ20">
        <f t="shared" ca="1" si="15"/>
        <v>9.8817922039816253</v>
      </c>
      <c r="OR20">
        <f t="shared" ca="1" si="15"/>
        <v>9.8730549971144352</v>
      </c>
      <c r="OS20">
        <f t="shared" ca="1" si="15"/>
        <v>9.8780272957170592</v>
      </c>
      <c r="OT20">
        <f t="shared" ca="1" si="15"/>
        <v>9.8756604779563801</v>
      </c>
      <c r="OU20">
        <f t="shared" ca="1" si="15"/>
        <v>9.8736867234325985</v>
      </c>
      <c r="OV20">
        <f t="shared" ca="1" si="15"/>
        <v>9.8714302150260682</v>
      </c>
      <c r="OW20">
        <f t="shared" ca="1" si="15"/>
        <v>9.8757983724675622</v>
      </c>
      <c r="OX20">
        <f t="shared" ca="1" si="15"/>
        <v>9.8773063323692067</v>
      </c>
      <c r="OY20">
        <f t="shared" ca="1" si="15"/>
        <v>9.877970482599352</v>
      </c>
      <c r="OZ20">
        <f t="shared" ca="1" si="15"/>
        <v>9.8746057927160553</v>
      </c>
      <c r="PA20">
        <f t="shared" ca="1" si="15"/>
        <v>9.8758787879388112</v>
      </c>
      <c r="PB20">
        <f t="shared" ca="1" si="15"/>
        <v>9.8748541267008143</v>
      </c>
      <c r="PC20">
        <f t="shared" ca="1" si="15"/>
        <v>9.874352155977391</v>
      </c>
      <c r="PD20">
        <f t="shared" ca="1" si="15"/>
        <v>9.8785524245676068</v>
      </c>
      <c r="PE20">
        <f t="shared" ca="1" si="15"/>
        <v>9.8782892913579001</v>
      </c>
      <c r="PF20">
        <f t="shared" ca="1" si="15"/>
        <v>9.8778850391026154</v>
      </c>
      <c r="PG20">
        <f t="shared" ca="1" si="15"/>
        <v>9.8800309989722894</v>
      </c>
      <c r="PH20">
        <f t="shared" ca="1" si="15"/>
        <v>9.8796018102251626</v>
      </c>
      <c r="PI20">
        <f t="shared" ca="1" si="15"/>
        <v>9.8797034229978973</v>
      </c>
      <c r="PJ20">
        <f t="shared" ca="1" si="15"/>
        <v>9.8802177360839938</v>
      </c>
      <c r="PK20">
        <f t="shared" ca="1" si="15"/>
        <v>9.8785814158985747</v>
      </c>
      <c r="PL20">
        <f t="shared" ca="1" si="15"/>
        <v>9.8778194147911016</v>
      </c>
      <c r="PM20">
        <f t="shared" ca="1" si="15"/>
        <v>9.8769817025095552</v>
      </c>
      <c r="PN20">
        <f t="shared" ca="1" si="15"/>
        <v>9.8799833153345009</v>
      </c>
      <c r="PO20">
        <f t="shared" ca="1" si="15"/>
        <v>9.8768318969646831</v>
      </c>
      <c r="PP20">
        <f t="shared" ca="1" si="15"/>
        <v>9.8766646607302242</v>
      </c>
      <c r="PQ20">
        <f t="shared" ca="1" si="15"/>
        <v>9.8755282242736087</v>
      </c>
      <c r="PR20">
        <f t="shared" ca="1" si="15"/>
        <v>9.8762796687976664</v>
      </c>
      <c r="PS20">
        <f t="shared" ca="1" si="15"/>
        <v>9.8760412475405666</v>
      </c>
      <c r="PT20">
        <f t="shared" ca="1" si="15"/>
        <v>9.8781526198805238</v>
      </c>
      <c r="PU20">
        <f t="shared" ca="1" si="15"/>
        <v>9.8750598699561305</v>
      </c>
      <c r="PV20">
        <f t="shared" ca="1" si="15"/>
        <v>9.8789106512928786</v>
      </c>
      <c r="PW20">
        <f t="shared" ca="1" si="15"/>
        <v>9.8793287009037343</v>
      </c>
      <c r="PX20">
        <f t="shared" ca="1" si="15"/>
        <v>9.8766262736497357</v>
      </c>
      <c r="PY20">
        <f t="shared" ca="1" si="15"/>
        <v>9.8783129277792376</v>
      </c>
      <c r="PZ20">
        <f t="shared" ca="1" si="15"/>
        <v>9.874801290777997</v>
      </c>
      <c r="QA20">
        <f t="shared" ca="1" si="15"/>
        <v>9.8744084944886712</v>
      </c>
      <c r="QB20">
        <f t="shared" ca="1" si="15"/>
        <v>9.8763292448544551</v>
      </c>
      <c r="QC20">
        <f t="shared" ca="1" si="15"/>
        <v>9.8803007238350951</v>
      </c>
      <c r="QD20">
        <f t="shared" ca="1" si="15"/>
        <v>9.8786229385941979</v>
      </c>
      <c r="QE20">
        <f t="shared" ca="1" si="15"/>
        <v>9.8780719342347929</v>
      </c>
      <c r="QF20">
        <f t="shared" ca="1" si="15"/>
        <v>9.8767786917889548</v>
      </c>
      <c r="QG20">
        <f t="shared" ca="1" si="15"/>
        <v>9.8800306380819602</v>
      </c>
      <c r="QH20">
        <f t="shared" ca="1" si="9"/>
        <v>9.877716482643196</v>
      </c>
      <c r="QI20">
        <f t="shared" ref="QI20:SG23" ca="1" si="20">$B7*EXP(($I7-$J8-($H7^2)/2)*(1/52)+$H7*SQRT(1/52)*_xlfn.NORM.INV(RAND(),0,1))</f>
        <v>9.8742138034428262</v>
      </c>
      <c r="QJ20">
        <f t="shared" ca="1" si="20"/>
        <v>9.8764813596922085</v>
      </c>
      <c r="QK20">
        <f t="shared" ca="1" si="20"/>
        <v>9.8836213711613041</v>
      </c>
      <c r="QL20">
        <f t="shared" ca="1" si="20"/>
        <v>9.8766138444449059</v>
      </c>
      <c r="QM20">
        <f t="shared" ca="1" si="20"/>
        <v>9.8757898080783075</v>
      </c>
      <c r="QN20">
        <f t="shared" ca="1" si="20"/>
        <v>9.8793343940149914</v>
      </c>
      <c r="QO20">
        <f t="shared" ca="1" si="20"/>
        <v>9.8737369158650115</v>
      </c>
      <c r="QP20">
        <f t="shared" ca="1" si="20"/>
        <v>9.8733887704030092</v>
      </c>
      <c r="QQ20">
        <f t="shared" ca="1" si="20"/>
        <v>9.8820244747250197</v>
      </c>
      <c r="QR20">
        <f t="shared" ca="1" si="20"/>
        <v>9.8772459385211846</v>
      </c>
      <c r="QS20">
        <f t="shared" ca="1" si="20"/>
        <v>9.8763603670631017</v>
      </c>
      <c r="QT20">
        <f t="shared" ca="1" si="20"/>
        <v>9.8762776933765846</v>
      </c>
      <c r="QU20">
        <f t="shared" ca="1" si="20"/>
        <v>9.8807063289710015</v>
      </c>
      <c r="QV20">
        <f t="shared" ca="1" si="20"/>
        <v>9.8732028489562538</v>
      </c>
      <c r="QW20">
        <f t="shared" ca="1" si="20"/>
        <v>9.8766120273174298</v>
      </c>
      <c r="QX20">
        <f t="shared" ca="1" si="20"/>
        <v>9.8795987777527916</v>
      </c>
      <c r="QY20">
        <f t="shared" ca="1" si="20"/>
        <v>9.8803112828998572</v>
      </c>
      <c r="QZ20">
        <f t="shared" ca="1" si="20"/>
        <v>9.8815728288645222</v>
      </c>
      <c r="RA20">
        <f t="shared" ca="1" si="20"/>
        <v>9.8827455714591075</v>
      </c>
      <c r="RB20">
        <f t="shared" ca="1" si="20"/>
        <v>9.8822147950723895</v>
      </c>
      <c r="RC20">
        <f t="shared" ca="1" si="20"/>
        <v>9.8779394186921099</v>
      </c>
      <c r="RD20">
        <f t="shared" ca="1" si="20"/>
        <v>9.8753433117224905</v>
      </c>
      <c r="RE20">
        <f t="shared" ca="1" si="20"/>
        <v>9.8768539241451041</v>
      </c>
      <c r="RF20">
        <f t="shared" ca="1" si="20"/>
        <v>9.8742613245751905</v>
      </c>
      <c r="RG20">
        <f t="shared" ca="1" si="20"/>
        <v>9.8820702233279167</v>
      </c>
      <c r="RH20">
        <f t="shared" ca="1" si="20"/>
        <v>9.8782634290133622</v>
      </c>
      <c r="RI20">
        <f t="shared" ca="1" si="20"/>
        <v>9.8763569574451271</v>
      </c>
      <c r="RJ20">
        <f t="shared" ca="1" si="20"/>
        <v>9.8785579959517253</v>
      </c>
      <c r="RK20">
        <f t="shared" ca="1" si="20"/>
        <v>9.8761700613441015</v>
      </c>
      <c r="RL20">
        <f t="shared" ca="1" si="20"/>
        <v>9.8813737749443273</v>
      </c>
      <c r="RM20">
        <f t="shared" ca="1" si="20"/>
        <v>9.8793606281562258</v>
      </c>
      <c r="RN20">
        <f t="shared" ca="1" si="20"/>
        <v>9.8760100361058587</v>
      </c>
      <c r="RO20">
        <f t="shared" ca="1" si="20"/>
        <v>9.8826764823077458</v>
      </c>
      <c r="RP20">
        <f t="shared" ca="1" si="20"/>
        <v>9.8764008156534846</v>
      </c>
      <c r="RQ20">
        <f t="shared" ca="1" si="20"/>
        <v>9.877071104801816</v>
      </c>
      <c r="RR20">
        <f t="shared" ca="1" si="20"/>
        <v>9.8790581097428589</v>
      </c>
      <c r="RS20">
        <f t="shared" ca="1" si="20"/>
        <v>9.8823119649689062</v>
      </c>
      <c r="RT20">
        <f t="shared" ca="1" si="20"/>
        <v>9.8786360832897593</v>
      </c>
      <c r="RU20">
        <f t="shared" ca="1" si="20"/>
        <v>9.87451041085321</v>
      </c>
      <c r="RV20">
        <f t="shared" ca="1" si="20"/>
        <v>9.8788253628296001</v>
      </c>
      <c r="RW20">
        <f t="shared" ca="1" si="20"/>
        <v>9.8791775969670965</v>
      </c>
      <c r="RX20">
        <f t="shared" ca="1" si="20"/>
        <v>9.8772990555515339</v>
      </c>
      <c r="RY20">
        <f t="shared" ca="1" si="20"/>
        <v>9.8752830684101198</v>
      </c>
      <c r="RZ20">
        <f t="shared" ca="1" si="20"/>
        <v>9.8797579628222465</v>
      </c>
      <c r="SA20">
        <f t="shared" ca="1" si="20"/>
        <v>9.8774993942657101</v>
      </c>
      <c r="SB20">
        <f t="shared" ca="1" si="20"/>
        <v>9.8768352606526388</v>
      </c>
      <c r="SC20">
        <f t="shared" ca="1" si="20"/>
        <v>9.8798131401625344</v>
      </c>
      <c r="SD20">
        <f t="shared" ca="1" si="20"/>
        <v>9.882071382914166</v>
      </c>
      <c r="SE20">
        <f t="shared" ca="1" si="20"/>
        <v>9.8764081624324671</v>
      </c>
      <c r="SF20">
        <f t="shared" ca="1" si="20"/>
        <v>9.8795782274485937</v>
      </c>
      <c r="SG20">
        <f t="shared" ca="1" si="20"/>
        <v>9.8783501705596546</v>
      </c>
    </row>
    <row r="21" spans="1:501" x14ac:dyDescent="0.3">
      <c r="A21" s="1" t="s">
        <v>92</v>
      </c>
      <c r="B21">
        <f t="shared" ca="1" si="11"/>
        <v>9.8870326232220282</v>
      </c>
      <c r="C21">
        <f t="shared" ref="C21:BN23" ca="1" si="21">$B8*EXP(($I8-$J9-($H8^2)/2)*(1/52)+$H8*SQRT(1/52)*_xlfn.NORM.INV(RAND(),0,1))</f>
        <v>9.8901212468021793</v>
      </c>
      <c r="D21">
        <f t="shared" ca="1" si="21"/>
        <v>9.8895563808090898</v>
      </c>
      <c r="E21">
        <f t="shared" ca="1" si="21"/>
        <v>9.8860805689403843</v>
      </c>
      <c r="F21">
        <f t="shared" ca="1" si="21"/>
        <v>9.8889251771403366</v>
      </c>
      <c r="G21">
        <f t="shared" ca="1" si="21"/>
        <v>9.890749645184739</v>
      </c>
      <c r="H21">
        <f t="shared" ca="1" si="21"/>
        <v>9.8871448859818081</v>
      </c>
      <c r="I21">
        <f t="shared" ca="1" si="21"/>
        <v>9.890097026156818</v>
      </c>
      <c r="J21">
        <f t="shared" ca="1" si="21"/>
        <v>9.8858076869383655</v>
      </c>
      <c r="K21">
        <f t="shared" ca="1" si="21"/>
        <v>9.8865769642332317</v>
      </c>
      <c r="L21">
        <f t="shared" ca="1" si="21"/>
        <v>9.8879663294695579</v>
      </c>
      <c r="M21">
        <f t="shared" ca="1" si="21"/>
        <v>9.8922707179873957</v>
      </c>
      <c r="N21">
        <f t="shared" ca="1" si="21"/>
        <v>9.8870892070287937</v>
      </c>
      <c r="O21">
        <f t="shared" ca="1" si="21"/>
        <v>9.8871436308392884</v>
      </c>
      <c r="P21">
        <f t="shared" ca="1" si="21"/>
        <v>9.8923042811340061</v>
      </c>
      <c r="Q21">
        <f t="shared" ca="1" si="21"/>
        <v>9.8896508565645824</v>
      </c>
      <c r="R21">
        <f t="shared" ca="1" si="21"/>
        <v>9.8861750585798642</v>
      </c>
      <c r="S21">
        <f t="shared" ca="1" si="21"/>
        <v>9.8909201669834559</v>
      </c>
      <c r="T21">
        <f t="shared" ca="1" si="21"/>
        <v>9.8885289181738862</v>
      </c>
      <c r="U21">
        <f t="shared" ca="1" si="21"/>
        <v>9.8892094651856706</v>
      </c>
      <c r="V21">
        <f t="shared" ca="1" si="21"/>
        <v>9.8900506779335444</v>
      </c>
      <c r="W21">
        <f t="shared" ca="1" si="21"/>
        <v>9.8874604792340719</v>
      </c>
      <c r="X21">
        <f t="shared" ca="1" si="21"/>
        <v>9.8864029583349726</v>
      </c>
      <c r="Y21">
        <f t="shared" ca="1" si="21"/>
        <v>9.8861210963007515</v>
      </c>
      <c r="Z21">
        <f t="shared" ca="1" si="21"/>
        <v>9.8888571239033141</v>
      </c>
      <c r="AA21">
        <f t="shared" ca="1" si="21"/>
        <v>9.8958225726650042</v>
      </c>
      <c r="AB21">
        <f t="shared" ca="1" si="21"/>
        <v>9.8925013702163529</v>
      </c>
      <c r="AC21">
        <f t="shared" ca="1" si="21"/>
        <v>9.8891366415763908</v>
      </c>
      <c r="AD21">
        <f t="shared" ca="1" si="21"/>
        <v>9.888511743048241</v>
      </c>
      <c r="AE21">
        <f t="shared" ca="1" si="21"/>
        <v>9.8877439821772679</v>
      </c>
      <c r="AF21">
        <f t="shared" ca="1" si="21"/>
        <v>9.8905983476305419</v>
      </c>
      <c r="AG21">
        <f t="shared" ca="1" si="21"/>
        <v>9.8920055705844447</v>
      </c>
      <c r="AH21">
        <f t="shared" ca="1" si="21"/>
        <v>9.8860048125163171</v>
      </c>
      <c r="AI21">
        <f t="shared" ca="1" si="21"/>
        <v>9.8855202505698649</v>
      </c>
      <c r="AJ21">
        <f t="shared" ca="1" si="21"/>
        <v>9.8869752858332891</v>
      </c>
      <c r="AK21">
        <f t="shared" ca="1" si="21"/>
        <v>9.8899705410722962</v>
      </c>
      <c r="AL21">
        <f t="shared" ca="1" si="21"/>
        <v>9.8893084175277579</v>
      </c>
      <c r="AM21">
        <f t="shared" ca="1" si="21"/>
        <v>9.8925216123912865</v>
      </c>
      <c r="AN21">
        <f t="shared" ca="1" si="21"/>
        <v>9.8863081998721736</v>
      </c>
      <c r="AO21">
        <f t="shared" ca="1" si="21"/>
        <v>9.8861228817497899</v>
      </c>
      <c r="AP21">
        <f t="shared" ca="1" si="21"/>
        <v>9.8858378300886525</v>
      </c>
      <c r="AQ21">
        <f t="shared" ca="1" si="21"/>
        <v>9.8840701416217414</v>
      </c>
      <c r="AR21">
        <f t="shared" ca="1" si="21"/>
        <v>9.8840207073353739</v>
      </c>
      <c r="AS21">
        <f t="shared" ca="1" si="21"/>
        <v>9.8877042964200683</v>
      </c>
      <c r="AT21">
        <f t="shared" ca="1" si="21"/>
        <v>9.8876105771532572</v>
      </c>
      <c r="AU21">
        <f t="shared" ca="1" si="21"/>
        <v>9.8871373121672921</v>
      </c>
      <c r="AV21">
        <f t="shared" ca="1" si="21"/>
        <v>9.8881619819945588</v>
      </c>
      <c r="AW21">
        <f t="shared" ca="1" si="21"/>
        <v>9.890133108132293</v>
      </c>
      <c r="AX21">
        <f t="shared" ca="1" si="21"/>
        <v>9.8905780072860754</v>
      </c>
      <c r="AY21">
        <f t="shared" ca="1" si="21"/>
        <v>9.8887663411505322</v>
      </c>
      <c r="AZ21">
        <f t="shared" ca="1" si="21"/>
        <v>9.8899372213024179</v>
      </c>
      <c r="BA21">
        <f t="shared" ca="1" si="21"/>
        <v>9.8912371315355152</v>
      </c>
      <c r="BB21">
        <f t="shared" ca="1" si="21"/>
        <v>9.8848364276564649</v>
      </c>
      <c r="BC21">
        <f t="shared" ca="1" si="21"/>
        <v>9.8860602842705347</v>
      </c>
      <c r="BD21">
        <f t="shared" ca="1" si="21"/>
        <v>9.8869698011734251</v>
      </c>
      <c r="BE21">
        <f t="shared" ca="1" si="21"/>
        <v>9.8881075486804004</v>
      </c>
      <c r="BF21">
        <f t="shared" ca="1" si="21"/>
        <v>9.8874315263504542</v>
      </c>
      <c r="BG21">
        <f t="shared" ca="1" si="21"/>
        <v>9.8832501931569343</v>
      </c>
      <c r="BH21">
        <f t="shared" ca="1" si="21"/>
        <v>9.890518974952025</v>
      </c>
      <c r="BI21">
        <f t="shared" ca="1" si="21"/>
        <v>9.8825292835719658</v>
      </c>
      <c r="BJ21">
        <f t="shared" ca="1" si="21"/>
        <v>9.8908549769311929</v>
      </c>
      <c r="BK21">
        <f t="shared" ca="1" si="21"/>
        <v>9.8861653542578889</v>
      </c>
      <c r="BL21">
        <f t="shared" ca="1" si="21"/>
        <v>9.8930670867393431</v>
      </c>
      <c r="BM21">
        <f t="shared" ca="1" si="21"/>
        <v>9.8910406753665008</v>
      </c>
      <c r="BN21">
        <f t="shared" ca="1" si="21"/>
        <v>9.8904066184742945</v>
      </c>
      <c r="BO21">
        <f t="shared" ca="1" si="19"/>
        <v>9.8885563187507106</v>
      </c>
      <c r="BP21">
        <f t="shared" ca="1" si="19"/>
        <v>9.8908265893096132</v>
      </c>
      <c r="BQ21">
        <f t="shared" ca="1" si="19"/>
        <v>9.8886801427528592</v>
      </c>
      <c r="BR21">
        <f t="shared" ca="1" si="19"/>
        <v>9.8878881599599211</v>
      </c>
      <c r="BS21">
        <f t="shared" ca="1" si="19"/>
        <v>9.8861903677343737</v>
      </c>
      <c r="BT21">
        <f t="shared" ca="1" si="19"/>
        <v>9.8874429731493763</v>
      </c>
      <c r="BU21">
        <f t="shared" ca="1" si="19"/>
        <v>9.8865525886758849</v>
      </c>
      <c r="BV21">
        <f t="shared" ca="1" si="19"/>
        <v>9.8855182934935044</v>
      </c>
      <c r="BW21">
        <f t="shared" ca="1" si="19"/>
        <v>9.890074060898538</v>
      </c>
      <c r="BX21">
        <f t="shared" ca="1" si="19"/>
        <v>9.8873248465188919</v>
      </c>
      <c r="BY21">
        <f t="shared" ca="1" si="19"/>
        <v>9.8852873465999647</v>
      </c>
      <c r="BZ21">
        <f t="shared" ca="1" si="19"/>
        <v>9.8864450259733339</v>
      </c>
      <c r="CA21">
        <f t="shared" ca="1" si="19"/>
        <v>9.892689963967447</v>
      </c>
      <c r="CB21">
        <f t="shared" ca="1" si="19"/>
        <v>9.8901060063812132</v>
      </c>
      <c r="CC21">
        <f t="shared" ca="1" si="19"/>
        <v>9.8887363124503018</v>
      </c>
      <c r="CD21">
        <f t="shared" ca="1" si="19"/>
        <v>9.8887082110044862</v>
      </c>
      <c r="CE21">
        <f t="shared" ca="1" si="19"/>
        <v>9.8912633173375077</v>
      </c>
      <c r="CF21">
        <f t="shared" ca="1" si="19"/>
        <v>9.8897816245127039</v>
      </c>
      <c r="CG21">
        <f t="shared" ca="1" si="19"/>
        <v>9.8916960244572056</v>
      </c>
      <c r="CH21">
        <f t="shared" ca="1" si="19"/>
        <v>9.8920914056129341</v>
      </c>
      <c r="CI21">
        <f t="shared" ca="1" si="19"/>
        <v>9.8885654536795808</v>
      </c>
      <c r="CJ21">
        <f t="shared" ca="1" si="19"/>
        <v>9.8906383288625701</v>
      </c>
      <c r="CK21">
        <f t="shared" ca="1" si="19"/>
        <v>9.8897122445379981</v>
      </c>
      <c r="CL21">
        <f t="shared" ca="1" si="19"/>
        <v>9.8919327603296772</v>
      </c>
      <c r="CM21">
        <f t="shared" ca="1" si="19"/>
        <v>9.8882696241457744</v>
      </c>
      <c r="CN21">
        <f t="shared" ca="1" si="19"/>
        <v>9.88752456038854</v>
      </c>
      <c r="CO21">
        <f t="shared" ca="1" si="19"/>
        <v>9.8890945863912769</v>
      </c>
      <c r="CP21">
        <f t="shared" ca="1" si="19"/>
        <v>9.8887769118485949</v>
      </c>
      <c r="CQ21">
        <f t="shared" ca="1" si="19"/>
        <v>9.8831474639522821</v>
      </c>
      <c r="CR21">
        <f t="shared" ca="1" si="19"/>
        <v>9.8862360805727629</v>
      </c>
      <c r="CS21">
        <f t="shared" ca="1" si="19"/>
        <v>9.887934073769129</v>
      </c>
      <c r="CT21">
        <f t="shared" ca="1" si="19"/>
        <v>9.8854924823342945</v>
      </c>
      <c r="CU21">
        <f t="shared" ca="1" si="19"/>
        <v>9.8842524861496024</v>
      </c>
      <c r="CV21">
        <f t="shared" ca="1" si="19"/>
        <v>9.8868769044253746</v>
      </c>
      <c r="CW21">
        <f t="shared" ca="1" si="19"/>
        <v>9.8829457953820743</v>
      </c>
      <c r="CX21">
        <f t="shared" ca="1" si="19"/>
        <v>9.8877039751028182</v>
      </c>
      <c r="CY21">
        <f t="shared" ca="1" si="19"/>
        <v>9.89092921957314</v>
      </c>
      <c r="CZ21">
        <f t="shared" ca="1" si="19"/>
        <v>9.8850172872300988</v>
      </c>
      <c r="DA21">
        <f t="shared" ca="1" si="19"/>
        <v>9.886310886022267</v>
      </c>
      <c r="DB21">
        <f t="shared" ca="1" si="19"/>
        <v>9.8878891988847357</v>
      </c>
      <c r="DC21">
        <f t="shared" ca="1" si="19"/>
        <v>9.8848482307940007</v>
      </c>
      <c r="DD21">
        <f t="shared" ca="1" si="19"/>
        <v>9.892610508768934</v>
      </c>
      <c r="DE21">
        <f t="shared" ca="1" si="19"/>
        <v>9.8896209532002768</v>
      </c>
      <c r="DF21">
        <f t="shared" ca="1" si="19"/>
        <v>9.8924218377500654</v>
      </c>
      <c r="DG21">
        <f t="shared" ca="1" si="19"/>
        <v>9.8868372300662859</v>
      </c>
      <c r="DH21">
        <f t="shared" ca="1" si="19"/>
        <v>9.889324562431888</v>
      </c>
      <c r="DI21">
        <f t="shared" ca="1" si="19"/>
        <v>9.8844415738286795</v>
      </c>
      <c r="DJ21">
        <f t="shared" ca="1" si="19"/>
        <v>9.8847891861187502</v>
      </c>
      <c r="DK21">
        <f t="shared" ca="1" si="19"/>
        <v>9.887285937825899</v>
      </c>
      <c r="DL21">
        <f t="shared" ca="1" si="19"/>
        <v>9.8837416608230946</v>
      </c>
      <c r="DM21">
        <f t="shared" ca="1" si="19"/>
        <v>9.8864092328082975</v>
      </c>
      <c r="DN21">
        <f t="shared" ca="1" si="19"/>
        <v>9.88609420942635</v>
      </c>
      <c r="DO21">
        <f t="shared" ca="1" si="19"/>
        <v>9.8834472309884553</v>
      </c>
      <c r="DP21">
        <f t="shared" ca="1" si="19"/>
        <v>9.8904062837870441</v>
      </c>
      <c r="DQ21">
        <f t="shared" ca="1" si="19"/>
        <v>9.8879573952361373</v>
      </c>
      <c r="DR21">
        <f t="shared" ca="1" si="19"/>
        <v>9.8853248164728438</v>
      </c>
      <c r="DS21">
        <f t="shared" ca="1" si="19"/>
        <v>9.8871323570593646</v>
      </c>
      <c r="DT21">
        <f t="shared" ca="1" si="19"/>
        <v>9.8863251808292691</v>
      </c>
      <c r="DU21">
        <f t="shared" ca="1" si="19"/>
        <v>9.8911515533146872</v>
      </c>
      <c r="DV21">
        <f t="shared" ca="1" si="19"/>
        <v>9.8868989596376142</v>
      </c>
      <c r="DW21">
        <f t="shared" ca="1" si="19"/>
        <v>9.883342986841436</v>
      </c>
      <c r="DX21">
        <f t="shared" ca="1" si="19"/>
        <v>9.8848877659274432</v>
      </c>
      <c r="DY21">
        <f t="shared" ca="1" si="19"/>
        <v>9.8872123406312724</v>
      </c>
      <c r="DZ21">
        <f t="shared" ca="1" si="16"/>
        <v>9.8892305814825683</v>
      </c>
      <c r="EA21">
        <f t="shared" ca="1" si="13"/>
        <v>9.8889701495066351</v>
      </c>
      <c r="EB21">
        <f t="shared" ca="1" si="13"/>
        <v>9.8889045104636857</v>
      </c>
      <c r="EC21">
        <f t="shared" ca="1" si="13"/>
        <v>9.8887988579216533</v>
      </c>
      <c r="ED21">
        <f t="shared" ca="1" si="13"/>
        <v>9.8910985778247902</v>
      </c>
      <c r="EE21">
        <f t="shared" ca="1" si="13"/>
        <v>9.8855654999063134</v>
      </c>
      <c r="EF21">
        <f t="shared" ca="1" si="13"/>
        <v>9.8873836853574169</v>
      </c>
      <c r="EG21">
        <f t="shared" ca="1" si="13"/>
        <v>9.8939012449316959</v>
      </c>
      <c r="EH21">
        <f t="shared" ca="1" si="13"/>
        <v>9.8856629179794169</v>
      </c>
      <c r="EI21">
        <f t="shared" ca="1" si="13"/>
        <v>9.8888060713272434</v>
      </c>
      <c r="EJ21">
        <f t="shared" ca="1" si="13"/>
        <v>9.8830611665223049</v>
      </c>
      <c r="EK21">
        <f t="shared" ca="1" si="13"/>
        <v>9.8884454857750637</v>
      </c>
      <c r="EL21">
        <f t="shared" ca="1" si="13"/>
        <v>9.8894550730833988</v>
      </c>
      <c r="EM21">
        <f t="shared" ca="1" si="13"/>
        <v>9.8850531716412089</v>
      </c>
      <c r="EN21">
        <f t="shared" ca="1" si="13"/>
        <v>9.8838462973196997</v>
      </c>
      <c r="EO21">
        <f t="shared" ca="1" si="13"/>
        <v>9.8829534386761893</v>
      </c>
      <c r="EP21">
        <f t="shared" ca="1" si="13"/>
        <v>9.8888673587208409</v>
      </c>
      <c r="EQ21">
        <f t="shared" ca="1" si="13"/>
        <v>9.8867006543978029</v>
      </c>
      <c r="ER21">
        <f t="shared" ca="1" si="13"/>
        <v>9.8937753601990703</v>
      </c>
      <c r="ES21">
        <f t="shared" ca="1" si="13"/>
        <v>9.8854589612281725</v>
      </c>
      <c r="ET21">
        <f t="shared" ca="1" si="13"/>
        <v>9.8896771070370857</v>
      </c>
      <c r="EU21">
        <f t="shared" ca="1" si="13"/>
        <v>9.881948343610885</v>
      </c>
      <c r="EV21">
        <f t="shared" ca="1" si="13"/>
        <v>9.8855719172280327</v>
      </c>
      <c r="EW21">
        <f t="shared" ca="1" si="13"/>
        <v>9.8868079046138888</v>
      </c>
      <c r="EX21">
        <f t="shared" ca="1" si="13"/>
        <v>9.8877933208099744</v>
      </c>
      <c r="EY21">
        <f t="shared" ca="1" si="13"/>
        <v>9.8830972034066029</v>
      </c>
      <c r="EZ21">
        <f t="shared" ca="1" si="13"/>
        <v>9.8873429299978852</v>
      </c>
      <c r="FA21">
        <f t="shared" ca="1" si="13"/>
        <v>9.8844992255286517</v>
      </c>
      <c r="FB21">
        <f t="shared" ca="1" si="13"/>
        <v>9.8921121372416909</v>
      </c>
      <c r="FC21">
        <f t="shared" ca="1" si="13"/>
        <v>9.8891783842467564</v>
      </c>
      <c r="FD21">
        <f t="shared" ca="1" si="13"/>
        <v>9.8883020593060866</v>
      </c>
      <c r="FE21">
        <f t="shared" ca="1" si="13"/>
        <v>9.8858248573074121</v>
      </c>
      <c r="FF21">
        <f t="shared" ca="1" si="13"/>
        <v>9.8882907150849633</v>
      </c>
      <c r="FG21">
        <f t="shared" ca="1" si="13"/>
        <v>9.888013210295016</v>
      </c>
      <c r="FH21">
        <f t="shared" ca="1" si="13"/>
        <v>9.8909959876026292</v>
      </c>
      <c r="FI21">
        <f t="shared" ca="1" si="13"/>
        <v>9.884494625208557</v>
      </c>
      <c r="FJ21">
        <f t="shared" ca="1" si="13"/>
        <v>9.886574262662263</v>
      </c>
      <c r="FK21">
        <f t="shared" ca="1" si="13"/>
        <v>9.889314121419341</v>
      </c>
      <c r="FL21">
        <f t="shared" ca="1" si="13"/>
        <v>9.8885533895259314</v>
      </c>
      <c r="FM21">
        <f t="shared" ca="1" si="13"/>
        <v>9.8904917479878254</v>
      </c>
      <c r="FN21">
        <f t="shared" ca="1" si="13"/>
        <v>9.8870330518537042</v>
      </c>
      <c r="FO21">
        <f t="shared" ca="1" si="13"/>
        <v>9.888081263043853</v>
      </c>
      <c r="FP21">
        <f t="shared" ca="1" si="13"/>
        <v>9.8881190504829508</v>
      </c>
      <c r="FQ21">
        <f t="shared" ca="1" si="13"/>
        <v>9.8890960273155137</v>
      </c>
      <c r="FR21">
        <f t="shared" ca="1" si="13"/>
        <v>9.8892915907382779</v>
      </c>
      <c r="FS21">
        <f t="shared" ca="1" si="13"/>
        <v>9.884048529099358</v>
      </c>
      <c r="FT21">
        <f t="shared" ca="1" si="13"/>
        <v>9.8902104422933412</v>
      </c>
      <c r="FU21">
        <f t="shared" ca="1" si="13"/>
        <v>9.8880014725160077</v>
      </c>
      <c r="FV21">
        <f t="shared" ca="1" si="13"/>
        <v>9.8892927149356851</v>
      </c>
      <c r="FW21">
        <f t="shared" ca="1" si="13"/>
        <v>9.8888268735026728</v>
      </c>
      <c r="FX21">
        <f t="shared" ca="1" si="13"/>
        <v>9.8883722842377271</v>
      </c>
      <c r="FY21">
        <f t="shared" ca="1" si="13"/>
        <v>9.8883447238033675</v>
      </c>
      <c r="FZ21">
        <f t="shared" ca="1" si="13"/>
        <v>9.8888218195560089</v>
      </c>
      <c r="GA21">
        <f t="shared" ca="1" si="13"/>
        <v>9.8894195725622414</v>
      </c>
      <c r="GB21">
        <f t="shared" ca="1" si="13"/>
        <v>9.889061142356292</v>
      </c>
      <c r="GC21">
        <f t="shared" ca="1" si="13"/>
        <v>9.8844565207942914</v>
      </c>
      <c r="GD21">
        <f t="shared" ca="1" si="13"/>
        <v>9.8905979354111757</v>
      </c>
      <c r="GE21">
        <f t="shared" ca="1" si="13"/>
        <v>9.8892907758042448</v>
      </c>
      <c r="GF21">
        <f t="shared" ca="1" si="13"/>
        <v>9.8848235084268872</v>
      </c>
      <c r="GG21">
        <f t="shared" ca="1" si="13"/>
        <v>9.8879395695013486</v>
      </c>
      <c r="GH21">
        <f t="shared" ca="1" si="13"/>
        <v>9.8875961561429921</v>
      </c>
      <c r="GI21">
        <f t="shared" ca="1" si="13"/>
        <v>9.8895327338759902</v>
      </c>
      <c r="GJ21">
        <f t="shared" ca="1" si="13"/>
        <v>9.8918113880193594</v>
      </c>
      <c r="GK21">
        <f t="shared" ca="1" si="13"/>
        <v>9.8887296168617809</v>
      </c>
      <c r="GL21">
        <f t="shared" ca="1" si="5"/>
        <v>9.8888947654618971</v>
      </c>
      <c r="GM21">
        <f t="shared" ca="1" si="17"/>
        <v>9.8890965838642622</v>
      </c>
      <c r="GN21">
        <f t="shared" ca="1" si="17"/>
        <v>9.8914972612409304</v>
      </c>
      <c r="GO21">
        <f t="shared" ca="1" si="17"/>
        <v>9.8897533016973966</v>
      </c>
      <c r="GP21">
        <f t="shared" ca="1" si="17"/>
        <v>9.8867598045512999</v>
      </c>
      <c r="GQ21">
        <f t="shared" ca="1" si="17"/>
        <v>9.8882507485623581</v>
      </c>
      <c r="GR21">
        <f t="shared" ca="1" si="17"/>
        <v>9.8892729952690903</v>
      </c>
      <c r="GS21">
        <f t="shared" ca="1" si="17"/>
        <v>9.8870783816606718</v>
      </c>
      <c r="GT21">
        <f t="shared" ca="1" si="17"/>
        <v>9.8878557285436344</v>
      </c>
      <c r="GU21">
        <f t="shared" ca="1" si="17"/>
        <v>9.8921209012524187</v>
      </c>
      <c r="GV21">
        <f t="shared" ca="1" si="17"/>
        <v>9.8875755151419771</v>
      </c>
      <c r="GW21">
        <f t="shared" ca="1" si="17"/>
        <v>9.8869655866799562</v>
      </c>
      <c r="GX21">
        <f t="shared" ca="1" si="17"/>
        <v>9.8882329692469995</v>
      </c>
      <c r="GY21">
        <f t="shared" ca="1" si="17"/>
        <v>9.8861274445587899</v>
      </c>
      <c r="GZ21">
        <f t="shared" ca="1" si="17"/>
        <v>9.8900329882014244</v>
      </c>
      <c r="HA21">
        <f t="shared" ca="1" si="17"/>
        <v>9.8844075845645989</v>
      </c>
      <c r="HB21">
        <f t="shared" ca="1" si="17"/>
        <v>9.8886022156702484</v>
      </c>
      <c r="HC21">
        <f t="shared" ca="1" si="17"/>
        <v>9.8889537209893703</v>
      </c>
      <c r="HD21">
        <f t="shared" ca="1" si="17"/>
        <v>9.8892649996436521</v>
      </c>
      <c r="HE21">
        <f t="shared" ca="1" si="17"/>
        <v>9.885769485499269</v>
      </c>
      <c r="HF21">
        <f t="shared" ca="1" si="17"/>
        <v>9.8831114020527604</v>
      </c>
      <c r="HG21">
        <f t="shared" ca="1" si="17"/>
        <v>9.885564342218057</v>
      </c>
      <c r="HH21">
        <f t="shared" ca="1" si="17"/>
        <v>9.8834081483879892</v>
      </c>
      <c r="HI21">
        <f t="shared" ca="1" si="17"/>
        <v>9.8893884440730258</v>
      </c>
      <c r="HJ21">
        <f t="shared" ca="1" si="17"/>
        <v>9.8868485118066829</v>
      </c>
      <c r="HK21">
        <f t="shared" ca="1" si="17"/>
        <v>9.889732866274608</v>
      </c>
      <c r="HL21">
        <f t="shared" ca="1" si="17"/>
        <v>9.8901940542270879</v>
      </c>
      <c r="HM21">
        <f t="shared" ca="1" si="17"/>
        <v>9.8879314397786011</v>
      </c>
      <c r="HN21">
        <f t="shared" ca="1" si="17"/>
        <v>9.8881571976610765</v>
      </c>
      <c r="HO21">
        <f t="shared" ca="1" si="17"/>
        <v>9.8911420735180506</v>
      </c>
      <c r="HP21">
        <f t="shared" ca="1" si="17"/>
        <v>9.886981033642078</v>
      </c>
      <c r="HQ21">
        <f t="shared" ca="1" si="17"/>
        <v>9.8904245596912777</v>
      </c>
      <c r="HR21">
        <f t="shared" ca="1" si="17"/>
        <v>9.889570127722795</v>
      </c>
      <c r="HS21">
        <f t="shared" ca="1" si="17"/>
        <v>9.8868437743147677</v>
      </c>
      <c r="HT21">
        <f t="shared" ca="1" si="17"/>
        <v>9.8879753968656896</v>
      </c>
      <c r="HU21">
        <f t="shared" ca="1" si="17"/>
        <v>9.8882349055119061</v>
      </c>
      <c r="HV21">
        <f t="shared" ca="1" si="17"/>
        <v>9.8895332567418599</v>
      </c>
      <c r="HW21">
        <f t="shared" ca="1" si="17"/>
        <v>9.8869929808652284</v>
      </c>
      <c r="HX21">
        <f t="shared" ca="1" si="17"/>
        <v>9.8853664238442338</v>
      </c>
      <c r="HY21">
        <f t="shared" ca="1" si="17"/>
        <v>9.8887363213112316</v>
      </c>
      <c r="HZ21">
        <f t="shared" ca="1" si="17"/>
        <v>9.8873117848022076</v>
      </c>
      <c r="IA21">
        <f t="shared" ca="1" si="17"/>
        <v>9.8901343198352514</v>
      </c>
      <c r="IB21">
        <f t="shared" ca="1" si="17"/>
        <v>9.8902642965325533</v>
      </c>
      <c r="IC21">
        <f t="shared" ca="1" si="17"/>
        <v>9.885867615344381</v>
      </c>
      <c r="ID21">
        <f t="shared" ca="1" si="17"/>
        <v>9.8905156413493778</v>
      </c>
      <c r="IE21">
        <f t="shared" ca="1" si="17"/>
        <v>9.8883595623524201</v>
      </c>
      <c r="IF21">
        <f t="shared" ca="1" si="17"/>
        <v>9.8885402895513934</v>
      </c>
      <c r="IG21">
        <f t="shared" ca="1" si="17"/>
        <v>9.8917784495764671</v>
      </c>
      <c r="IH21">
        <f t="shared" ca="1" si="17"/>
        <v>9.8924677047136544</v>
      </c>
      <c r="II21">
        <f t="shared" ca="1" si="17"/>
        <v>9.8875374502922391</v>
      </c>
      <c r="IJ21">
        <f t="shared" ca="1" si="17"/>
        <v>9.888574087201798</v>
      </c>
      <c r="IK21">
        <f t="shared" ca="1" si="17"/>
        <v>9.8876787620361348</v>
      </c>
      <c r="IL21">
        <f t="shared" ca="1" si="17"/>
        <v>9.8873329747695333</v>
      </c>
      <c r="IM21">
        <f t="shared" ca="1" si="17"/>
        <v>9.891042526789084</v>
      </c>
      <c r="IN21">
        <f t="shared" ca="1" si="17"/>
        <v>9.8868693859651842</v>
      </c>
      <c r="IO21">
        <f t="shared" ca="1" si="17"/>
        <v>9.8869037818305863</v>
      </c>
      <c r="IP21">
        <f t="shared" ca="1" si="17"/>
        <v>9.8901986137200435</v>
      </c>
      <c r="IQ21">
        <f t="shared" ca="1" si="17"/>
        <v>9.8928979576449478</v>
      </c>
      <c r="IR21">
        <f t="shared" ca="1" si="17"/>
        <v>9.8892080071890867</v>
      </c>
      <c r="IS21">
        <f t="shared" ca="1" si="17"/>
        <v>9.8895669236178865</v>
      </c>
      <c r="IT21">
        <f t="shared" ca="1" si="17"/>
        <v>9.8855137815876279</v>
      </c>
      <c r="IU21">
        <f t="shared" ca="1" si="17"/>
        <v>9.8850350537191964</v>
      </c>
      <c r="IV21">
        <f t="shared" ca="1" si="17"/>
        <v>9.8854204765149642</v>
      </c>
      <c r="IW21">
        <f t="shared" ca="1" si="17"/>
        <v>9.8913907540881087</v>
      </c>
      <c r="IX21">
        <f t="shared" ca="1" si="17"/>
        <v>9.8891130164955712</v>
      </c>
      <c r="IY21">
        <f t="shared" ca="1" si="14"/>
        <v>9.8860788970414131</v>
      </c>
      <c r="IZ21">
        <f t="shared" ca="1" si="14"/>
        <v>9.8846941757273736</v>
      </c>
      <c r="JA21">
        <f t="shared" ca="1" si="14"/>
        <v>9.8853711900469214</v>
      </c>
      <c r="JB21">
        <f t="shared" ca="1" si="14"/>
        <v>9.8872484359269173</v>
      </c>
      <c r="JC21">
        <f t="shared" ca="1" si="14"/>
        <v>9.8890570086745946</v>
      </c>
      <c r="JD21">
        <f t="shared" ca="1" si="14"/>
        <v>9.8865202564080175</v>
      </c>
      <c r="JE21">
        <f t="shared" ca="1" si="14"/>
        <v>9.8931238482741986</v>
      </c>
      <c r="JF21">
        <f t="shared" ca="1" si="14"/>
        <v>9.8879874837491286</v>
      </c>
      <c r="JG21">
        <f t="shared" ca="1" si="14"/>
        <v>9.8858881682576101</v>
      </c>
      <c r="JH21">
        <f t="shared" ca="1" si="14"/>
        <v>9.8869850247598414</v>
      </c>
      <c r="JI21">
        <f t="shared" ca="1" si="14"/>
        <v>9.8896363264363227</v>
      </c>
      <c r="JJ21">
        <f t="shared" ca="1" si="14"/>
        <v>9.8841306362955432</v>
      </c>
      <c r="JK21">
        <f t="shared" ca="1" si="14"/>
        <v>9.8860340091742636</v>
      </c>
      <c r="JL21">
        <f t="shared" ca="1" si="14"/>
        <v>9.8869396458837464</v>
      </c>
      <c r="JM21">
        <f t="shared" ca="1" si="14"/>
        <v>9.894233680209247</v>
      </c>
      <c r="JN21">
        <f t="shared" ca="1" si="14"/>
        <v>9.8889523948155205</v>
      </c>
      <c r="JO21">
        <f t="shared" ca="1" si="14"/>
        <v>9.8903908991057108</v>
      </c>
      <c r="JP21">
        <f t="shared" ca="1" si="14"/>
        <v>9.8887539877323416</v>
      </c>
      <c r="JQ21">
        <f t="shared" ca="1" si="14"/>
        <v>9.8849610699636585</v>
      </c>
      <c r="JR21">
        <f t="shared" ca="1" si="14"/>
        <v>9.8879591015953299</v>
      </c>
      <c r="JS21">
        <f t="shared" ca="1" si="14"/>
        <v>9.8841941067419636</v>
      </c>
      <c r="JT21">
        <f t="shared" ca="1" si="14"/>
        <v>9.8923448897796593</v>
      </c>
      <c r="JU21">
        <f t="shared" ca="1" si="14"/>
        <v>9.8889619929378902</v>
      </c>
      <c r="JV21">
        <f t="shared" ca="1" si="14"/>
        <v>9.8909163311137895</v>
      </c>
      <c r="JW21">
        <f t="shared" ca="1" si="14"/>
        <v>9.8847868900861666</v>
      </c>
      <c r="JX21">
        <f t="shared" ca="1" si="14"/>
        <v>9.8866245838900646</v>
      </c>
      <c r="JY21">
        <f t="shared" ca="1" si="14"/>
        <v>9.8885064851825462</v>
      </c>
      <c r="JZ21">
        <f t="shared" ca="1" si="14"/>
        <v>9.8918417940349368</v>
      </c>
      <c r="KA21">
        <f t="shared" ca="1" si="14"/>
        <v>9.8858277100690461</v>
      </c>
      <c r="KB21">
        <f t="shared" ca="1" si="14"/>
        <v>9.890693504143794</v>
      </c>
      <c r="KC21">
        <f t="shared" ca="1" si="14"/>
        <v>9.8858118801216452</v>
      </c>
      <c r="KD21">
        <f t="shared" ca="1" si="14"/>
        <v>9.8899852309727603</v>
      </c>
      <c r="KE21">
        <f t="shared" ca="1" si="14"/>
        <v>9.8854357553703718</v>
      </c>
      <c r="KF21">
        <f t="shared" ca="1" si="14"/>
        <v>9.8858479095148422</v>
      </c>
      <c r="KG21">
        <f t="shared" ca="1" si="14"/>
        <v>9.8881158953923194</v>
      </c>
      <c r="KH21">
        <f t="shared" ca="1" si="14"/>
        <v>9.8881975193615936</v>
      </c>
      <c r="KI21">
        <f t="shared" ca="1" si="14"/>
        <v>9.8899416665071183</v>
      </c>
      <c r="KJ21">
        <f t="shared" ca="1" si="14"/>
        <v>9.885980518785864</v>
      </c>
      <c r="KK21">
        <f t="shared" ca="1" si="14"/>
        <v>9.8910716592371539</v>
      </c>
      <c r="KL21">
        <f t="shared" ca="1" si="14"/>
        <v>9.8885280194173362</v>
      </c>
      <c r="KM21">
        <f t="shared" ca="1" si="14"/>
        <v>9.892639171392716</v>
      </c>
      <c r="KN21">
        <f t="shared" ca="1" si="14"/>
        <v>9.8927374875874765</v>
      </c>
      <c r="KO21">
        <f t="shared" ca="1" si="14"/>
        <v>9.8881078315756703</v>
      </c>
      <c r="KP21">
        <f t="shared" ca="1" si="14"/>
        <v>9.8868679735233851</v>
      </c>
      <c r="KQ21">
        <f t="shared" ca="1" si="14"/>
        <v>9.8851167690979835</v>
      </c>
      <c r="KR21">
        <f t="shared" ca="1" si="14"/>
        <v>9.886636402844573</v>
      </c>
      <c r="KS21">
        <f t="shared" ca="1" si="14"/>
        <v>9.8916931670814652</v>
      </c>
      <c r="KT21">
        <f t="shared" ca="1" si="14"/>
        <v>9.8896761191520071</v>
      </c>
      <c r="KU21">
        <f t="shared" ca="1" si="14"/>
        <v>9.892263095062745</v>
      </c>
      <c r="KV21">
        <f t="shared" ca="1" si="14"/>
        <v>9.8913646360287899</v>
      </c>
      <c r="KW21">
        <f t="shared" ca="1" si="14"/>
        <v>9.8925123021814478</v>
      </c>
      <c r="KX21">
        <f t="shared" ca="1" si="14"/>
        <v>9.8862683563320175</v>
      </c>
      <c r="KY21">
        <f t="shared" ca="1" si="14"/>
        <v>9.8862616482757826</v>
      </c>
      <c r="KZ21">
        <f t="shared" ca="1" si="14"/>
        <v>9.886990289339769</v>
      </c>
      <c r="LA21">
        <f t="shared" ca="1" si="14"/>
        <v>9.893932952943274</v>
      </c>
      <c r="LB21">
        <f t="shared" ca="1" si="14"/>
        <v>9.8874009927338573</v>
      </c>
      <c r="LC21">
        <f t="shared" ca="1" si="14"/>
        <v>9.8878907254692621</v>
      </c>
      <c r="LD21">
        <f t="shared" ca="1" si="14"/>
        <v>9.8872141621730201</v>
      </c>
      <c r="LE21">
        <f t="shared" ca="1" si="14"/>
        <v>9.8906614937906969</v>
      </c>
      <c r="LF21">
        <f t="shared" ca="1" si="14"/>
        <v>9.8821149345478343</v>
      </c>
      <c r="LG21">
        <f t="shared" ca="1" si="14"/>
        <v>9.8915007644213073</v>
      </c>
      <c r="LH21">
        <f t="shared" ca="1" si="14"/>
        <v>9.8849099630288997</v>
      </c>
      <c r="LI21">
        <f t="shared" ca="1" si="14"/>
        <v>9.8912360951902816</v>
      </c>
      <c r="LJ21">
        <f t="shared" ca="1" si="7"/>
        <v>9.8883010052579703</v>
      </c>
      <c r="LK21">
        <f t="shared" ca="1" si="18"/>
        <v>9.8850751560635537</v>
      </c>
      <c r="LL21">
        <f t="shared" ca="1" si="18"/>
        <v>9.8874440538294834</v>
      </c>
      <c r="LM21">
        <f t="shared" ca="1" si="18"/>
        <v>9.8889418718714772</v>
      </c>
      <c r="LN21">
        <f t="shared" ca="1" si="18"/>
        <v>9.8841134390866614</v>
      </c>
      <c r="LO21">
        <f t="shared" ca="1" si="18"/>
        <v>9.8900359899302011</v>
      </c>
      <c r="LP21">
        <f t="shared" ca="1" si="18"/>
        <v>9.8893051513059991</v>
      </c>
      <c r="LQ21">
        <f t="shared" ca="1" si="18"/>
        <v>9.8855962100859678</v>
      </c>
      <c r="LR21">
        <f t="shared" ca="1" si="18"/>
        <v>9.8843588561940532</v>
      </c>
      <c r="LS21">
        <f t="shared" ca="1" si="18"/>
        <v>9.8915249399745857</v>
      </c>
      <c r="LT21">
        <f t="shared" ca="1" si="18"/>
        <v>9.8875150361554773</v>
      </c>
      <c r="LU21">
        <f t="shared" ca="1" si="18"/>
        <v>9.8887737002318037</v>
      </c>
      <c r="LV21">
        <f t="shared" ca="1" si="18"/>
        <v>9.8924593205167852</v>
      </c>
      <c r="LW21">
        <f t="shared" ca="1" si="18"/>
        <v>9.8856210619575311</v>
      </c>
      <c r="LX21">
        <f t="shared" ca="1" si="18"/>
        <v>9.8910750009974837</v>
      </c>
      <c r="LY21">
        <f t="shared" ca="1" si="18"/>
        <v>9.8876628664895865</v>
      </c>
      <c r="LZ21">
        <f t="shared" ca="1" si="18"/>
        <v>9.8866916193753802</v>
      </c>
      <c r="MA21">
        <f t="shared" ca="1" si="18"/>
        <v>9.8880890771377832</v>
      </c>
      <c r="MB21">
        <f t="shared" ca="1" si="18"/>
        <v>9.8902438126754806</v>
      </c>
      <c r="MC21">
        <f t="shared" ca="1" si="18"/>
        <v>9.8905708115238475</v>
      </c>
      <c r="MD21">
        <f t="shared" ca="1" si="18"/>
        <v>9.8872409490318081</v>
      </c>
      <c r="ME21">
        <f t="shared" ca="1" si="18"/>
        <v>9.8887391979012769</v>
      </c>
      <c r="MF21">
        <f t="shared" ca="1" si="18"/>
        <v>9.8857451352400592</v>
      </c>
      <c r="MG21">
        <f t="shared" ca="1" si="18"/>
        <v>9.8881520729883849</v>
      </c>
      <c r="MH21">
        <f t="shared" ca="1" si="18"/>
        <v>9.8935897643600477</v>
      </c>
      <c r="MI21">
        <f t="shared" ca="1" si="18"/>
        <v>9.8875439430419281</v>
      </c>
      <c r="MJ21">
        <f t="shared" ca="1" si="18"/>
        <v>9.8867379114095293</v>
      </c>
      <c r="MK21">
        <f t="shared" ca="1" si="18"/>
        <v>9.8891301463845291</v>
      </c>
      <c r="ML21">
        <f t="shared" ca="1" si="18"/>
        <v>9.8833158583574416</v>
      </c>
      <c r="MM21">
        <f t="shared" ca="1" si="18"/>
        <v>9.8873350909032673</v>
      </c>
      <c r="MN21">
        <f t="shared" ca="1" si="18"/>
        <v>9.8854071862626043</v>
      </c>
      <c r="MO21">
        <f t="shared" ca="1" si="18"/>
        <v>9.8882994061680964</v>
      </c>
      <c r="MP21">
        <f t="shared" ca="1" si="18"/>
        <v>9.8830585996569731</v>
      </c>
      <c r="MQ21">
        <f t="shared" ca="1" si="18"/>
        <v>9.8934871220193603</v>
      </c>
      <c r="MR21">
        <f t="shared" ca="1" si="18"/>
        <v>9.885303913276104</v>
      </c>
      <c r="MS21">
        <f t="shared" ca="1" si="18"/>
        <v>9.8873664745791956</v>
      </c>
      <c r="MT21">
        <f t="shared" ca="1" si="18"/>
        <v>9.8870781176911127</v>
      </c>
      <c r="MU21">
        <f t="shared" ca="1" si="18"/>
        <v>9.8882247433984265</v>
      </c>
      <c r="MV21">
        <f t="shared" ca="1" si="18"/>
        <v>9.8874575337278952</v>
      </c>
      <c r="MW21">
        <f t="shared" ca="1" si="18"/>
        <v>9.8905606798182486</v>
      </c>
      <c r="MX21">
        <f t="shared" ca="1" si="18"/>
        <v>9.8871357358448684</v>
      </c>
      <c r="MY21">
        <f t="shared" ca="1" si="18"/>
        <v>9.8873498275102971</v>
      </c>
      <c r="MZ21">
        <f t="shared" ca="1" si="18"/>
        <v>9.8877997313036783</v>
      </c>
      <c r="NA21">
        <f t="shared" ca="1" si="18"/>
        <v>9.8860756408808257</v>
      </c>
      <c r="NB21">
        <f t="shared" ca="1" si="18"/>
        <v>9.8833789056386632</v>
      </c>
      <c r="NC21">
        <f t="shared" ca="1" si="18"/>
        <v>9.8898762435229877</v>
      </c>
      <c r="ND21">
        <f t="shared" ca="1" si="18"/>
        <v>9.8895152314133199</v>
      </c>
      <c r="NE21">
        <f t="shared" ca="1" si="18"/>
        <v>9.8920055205510931</v>
      </c>
      <c r="NF21">
        <f t="shared" ca="1" si="18"/>
        <v>9.8875099331003202</v>
      </c>
      <c r="NG21">
        <f t="shared" ca="1" si="18"/>
        <v>9.8919996084571995</v>
      </c>
      <c r="NH21">
        <f t="shared" ca="1" si="18"/>
        <v>9.8883338643363405</v>
      </c>
      <c r="NI21">
        <f t="shared" ca="1" si="18"/>
        <v>9.8886391460500693</v>
      </c>
      <c r="NJ21">
        <f t="shared" ca="1" si="18"/>
        <v>9.8858728682675956</v>
      </c>
      <c r="NK21">
        <f t="shared" ca="1" si="18"/>
        <v>9.8897910270971998</v>
      </c>
      <c r="NL21">
        <f t="shared" ca="1" si="18"/>
        <v>9.8912958339574324</v>
      </c>
      <c r="NM21">
        <f t="shared" ca="1" si="18"/>
        <v>9.8847441346325304</v>
      </c>
      <c r="NN21">
        <f t="shared" ca="1" si="18"/>
        <v>9.8866223450968818</v>
      </c>
      <c r="NO21">
        <f t="shared" ca="1" si="18"/>
        <v>9.8863066415618928</v>
      </c>
      <c r="NP21">
        <f t="shared" ca="1" si="18"/>
        <v>9.8887284557653139</v>
      </c>
      <c r="NQ21">
        <f t="shared" ca="1" si="18"/>
        <v>9.8880108532318829</v>
      </c>
      <c r="NR21">
        <f t="shared" ca="1" si="18"/>
        <v>9.8858294320529776</v>
      </c>
      <c r="NS21">
        <f t="shared" ca="1" si="18"/>
        <v>9.888492283841952</v>
      </c>
      <c r="NT21">
        <f t="shared" ca="1" si="18"/>
        <v>9.882428759249942</v>
      </c>
      <c r="NU21">
        <f t="shared" ca="1" si="18"/>
        <v>9.8873109262908621</v>
      </c>
      <c r="NV21">
        <f t="shared" ca="1" si="18"/>
        <v>9.8898684997130886</v>
      </c>
      <c r="NW21">
        <f t="shared" ca="1" si="15"/>
        <v>9.8869659748838252</v>
      </c>
      <c r="NX21">
        <f t="shared" ca="1" si="15"/>
        <v>9.8849019487807688</v>
      </c>
      <c r="NY21">
        <f t="shared" ca="1" si="15"/>
        <v>9.8898710684559212</v>
      </c>
      <c r="NZ21">
        <f t="shared" ca="1" si="15"/>
        <v>9.883650436435838</v>
      </c>
      <c r="OA21">
        <f t="shared" ca="1" si="15"/>
        <v>9.8896390757081978</v>
      </c>
      <c r="OB21">
        <f t="shared" ca="1" si="15"/>
        <v>9.8921826633949674</v>
      </c>
      <c r="OC21">
        <f t="shared" ca="1" si="15"/>
        <v>9.8869778473961638</v>
      </c>
      <c r="OD21">
        <f t="shared" ca="1" si="15"/>
        <v>9.8883669278880255</v>
      </c>
      <c r="OE21">
        <f t="shared" ca="1" si="15"/>
        <v>9.8908505579482551</v>
      </c>
      <c r="OF21">
        <f t="shared" ca="1" si="15"/>
        <v>9.8847247098674007</v>
      </c>
      <c r="OG21">
        <f t="shared" ca="1" si="15"/>
        <v>9.8863561293563951</v>
      </c>
      <c r="OH21">
        <f t="shared" ca="1" si="15"/>
        <v>9.8864726618974714</v>
      </c>
      <c r="OI21">
        <f t="shared" ca="1" si="15"/>
        <v>9.8858273198343998</v>
      </c>
      <c r="OJ21">
        <f t="shared" ca="1" si="15"/>
        <v>9.8842158735595689</v>
      </c>
      <c r="OK21">
        <f t="shared" ca="1" si="15"/>
        <v>9.8871465238846401</v>
      </c>
      <c r="OL21">
        <f t="shared" ca="1" si="15"/>
        <v>9.8893616771623662</v>
      </c>
      <c r="OM21">
        <f t="shared" ca="1" si="15"/>
        <v>9.887481508269417</v>
      </c>
      <c r="ON21">
        <f t="shared" ca="1" si="15"/>
        <v>9.8894427584419216</v>
      </c>
      <c r="OO21">
        <f t="shared" ca="1" si="15"/>
        <v>9.8871013471427407</v>
      </c>
      <c r="OP21">
        <f t="shared" ca="1" si="15"/>
        <v>9.8893964754448671</v>
      </c>
      <c r="OQ21">
        <f t="shared" ca="1" si="15"/>
        <v>9.8941055569663821</v>
      </c>
      <c r="OR21">
        <f t="shared" ca="1" si="15"/>
        <v>9.8845774558080262</v>
      </c>
      <c r="OS21">
        <f t="shared" ca="1" si="15"/>
        <v>9.8868832182027546</v>
      </c>
      <c r="OT21">
        <f t="shared" ca="1" si="15"/>
        <v>9.8893064705001024</v>
      </c>
      <c r="OU21">
        <f t="shared" ca="1" si="15"/>
        <v>9.8867926811504194</v>
      </c>
      <c r="OV21">
        <f t="shared" ca="1" si="15"/>
        <v>9.8863927748257083</v>
      </c>
      <c r="OW21">
        <f t="shared" ca="1" si="15"/>
        <v>9.88550457896811</v>
      </c>
      <c r="OX21">
        <f t="shared" ca="1" si="15"/>
        <v>9.8898981527089997</v>
      </c>
      <c r="OY21">
        <f t="shared" ca="1" si="15"/>
        <v>9.887818641982129</v>
      </c>
      <c r="OZ21">
        <f t="shared" ca="1" si="15"/>
        <v>9.8907181439928724</v>
      </c>
      <c r="PA21">
        <f t="shared" ca="1" si="15"/>
        <v>9.8906841161427597</v>
      </c>
      <c r="PB21">
        <f t="shared" ca="1" si="15"/>
        <v>9.8884878852560121</v>
      </c>
      <c r="PC21">
        <f t="shared" ca="1" si="15"/>
        <v>9.8863935914289502</v>
      </c>
      <c r="PD21">
        <f t="shared" ca="1" si="15"/>
        <v>9.8852753487457115</v>
      </c>
      <c r="PE21">
        <f t="shared" ca="1" si="15"/>
        <v>9.8876468147090968</v>
      </c>
      <c r="PF21">
        <f t="shared" ca="1" si="15"/>
        <v>9.8891098661511698</v>
      </c>
      <c r="PG21">
        <f t="shared" ca="1" si="15"/>
        <v>9.8927574868693835</v>
      </c>
      <c r="PH21">
        <f t="shared" ca="1" si="15"/>
        <v>9.8889479407867675</v>
      </c>
      <c r="PI21">
        <f t="shared" ca="1" si="15"/>
        <v>9.8861398126055207</v>
      </c>
      <c r="PJ21">
        <f t="shared" ca="1" si="15"/>
        <v>9.888421646173926</v>
      </c>
      <c r="PK21">
        <f t="shared" ca="1" si="15"/>
        <v>9.8900299720411624</v>
      </c>
      <c r="PL21">
        <f t="shared" ca="1" si="15"/>
        <v>9.8888479814603176</v>
      </c>
      <c r="PM21">
        <f t="shared" ca="1" si="15"/>
        <v>9.8923479955457694</v>
      </c>
      <c r="PN21">
        <f t="shared" ca="1" si="15"/>
        <v>9.8886201094270376</v>
      </c>
      <c r="PO21">
        <f t="shared" ca="1" si="15"/>
        <v>9.8861275531145978</v>
      </c>
      <c r="PP21">
        <f t="shared" ca="1" si="15"/>
        <v>9.8896379230304934</v>
      </c>
      <c r="PQ21">
        <f t="shared" ca="1" si="15"/>
        <v>9.8894232818686003</v>
      </c>
      <c r="PR21">
        <f t="shared" ca="1" si="15"/>
        <v>9.8906424160511648</v>
      </c>
      <c r="PS21">
        <f t="shared" ca="1" si="15"/>
        <v>9.8910343300631443</v>
      </c>
      <c r="PT21">
        <f t="shared" ca="1" si="15"/>
        <v>9.8911112244092312</v>
      </c>
      <c r="PU21">
        <f t="shared" ca="1" si="15"/>
        <v>9.8881924206190845</v>
      </c>
      <c r="PV21">
        <f t="shared" ca="1" si="15"/>
        <v>9.8867325917584221</v>
      </c>
      <c r="PW21">
        <f t="shared" ca="1" si="15"/>
        <v>9.8904136782565697</v>
      </c>
      <c r="PX21">
        <f t="shared" ca="1" si="15"/>
        <v>9.8892753476314397</v>
      </c>
      <c r="PY21">
        <f t="shared" ca="1" si="15"/>
        <v>9.8870100023441552</v>
      </c>
      <c r="PZ21">
        <f t="shared" ca="1" si="15"/>
        <v>9.8853433950659504</v>
      </c>
      <c r="QA21">
        <f t="shared" ca="1" si="15"/>
        <v>9.8899618276375652</v>
      </c>
      <c r="QB21">
        <f t="shared" ca="1" si="15"/>
        <v>9.8921053958662668</v>
      </c>
      <c r="QC21">
        <f t="shared" ca="1" si="15"/>
        <v>9.8891255233664737</v>
      </c>
      <c r="QD21">
        <f t="shared" ca="1" si="15"/>
        <v>9.8888540403198704</v>
      </c>
      <c r="QE21">
        <f t="shared" ca="1" si="15"/>
        <v>9.888159026293259</v>
      </c>
      <c r="QF21">
        <f t="shared" ca="1" si="15"/>
        <v>9.8887414441370733</v>
      </c>
      <c r="QG21">
        <f t="shared" ca="1" si="15"/>
        <v>9.8914762572434167</v>
      </c>
      <c r="QH21">
        <f t="shared" ca="1" si="9"/>
        <v>9.8858657950279163</v>
      </c>
      <c r="QI21">
        <f t="shared" ca="1" si="20"/>
        <v>9.8896512823769722</v>
      </c>
      <c r="QJ21">
        <f t="shared" ca="1" si="20"/>
        <v>9.8922284299257868</v>
      </c>
      <c r="QK21">
        <f t="shared" ca="1" si="20"/>
        <v>9.8871830395042668</v>
      </c>
      <c r="QL21">
        <f t="shared" ca="1" si="20"/>
        <v>9.8958604784751607</v>
      </c>
      <c r="QM21">
        <f t="shared" ca="1" si="20"/>
        <v>9.8888884150590126</v>
      </c>
      <c r="QN21">
        <f t="shared" ca="1" si="20"/>
        <v>9.8917951683316296</v>
      </c>
      <c r="QO21">
        <f t="shared" ca="1" si="20"/>
        <v>9.8887708538656618</v>
      </c>
      <c r="QP21">
        <f t="shared" ca="1" si="20"/>
        <v>9.8879936133365103</v>
      </c>
      <c r="QQ21">
        <f t="shared" ca="1" si="20"/>
        <v>9.8866522129572587</v>
      </c>
      <c r="QR21">
        <f t="shared" ca="1" si="20"/>
        <v>9.8896233836427498</v>
      </c>
      <c r="QS21">
        <f t="shared" ca="1" si="20"/>
        <v>9.8900280693850071</v>
      </c>
      <c r="QT21">
        <f t="shared" ca="1" si="20"/>
        <v>9.88765889987069</v>
      </c>
      <c r="QU21">
        <f t="shared" ca="1" si="20"/>
        <v>9.8881595603837926</v>
      </c>
      <c r="QV21">
        <f t="shared" ca="1" si="20"/>
        <v>9.892718364368589</v>
      </c>
      <c r="QW21">
        <f t="shared" ca="1" si="20"/>
        <v>9.8874486423829069</v>
      </c>
      <c r="QX21">
        <f t="shared" ca="1" si="20"/>
        <v>9.8934419618222318</v>
      </c>
      <c r="QY21">
        <f t="shared" ca="1" si="20"/>
        <v>9.8917496043652573</v>
      </c>
      <c r="QZ21">
        <f t="shared" ca="1" si="20"/>
        <v>9.8859842374269462</v>
      </c>
      <c r="RA21">
        <f t="shared" ca="1" si="20"/>
        <v>9.8885280369666422</v>
      </c>
      <c r="RB21">
        <f t="shared" ca="1" si="20"/>
        <v>9.8915898255079107</v>
      </c>
      <c r="RC21">
        <f t="shared" ca="1" si="20"/>
        <v>9.8862837971080975</v>
      </c>
      <c r="RD21">
        <f t="shared" ca="1" si="20"/>
        <v>9.8878098379728154</v>
      </c>
      <c r="RE21">
        <f t="shared" ca="1" si="20"/>
        <v>9.887269759906463</v>
      </c>
      <c r="RF21">
        <f t="shared" ca="1" si="20"/>
        <v>9.8896891521592938</v>
      </c>
      <c r="RG21">
        <f t="shared" ca="1" si="20"/>
        <v>9.8897164969686919</v>
      </c>
      <c r="RH21">
        <f t="shared" ca="1" si="20"/>
        <v>9.8922932923609164</v>
      </c>
      <c r="RI21">
        <f t="shared" ca="1" si="20"/>
        <v>9.8910721450914103</v>
      </c>
      <c r="RJ21">
        <f t="shared" ca="1" si="20"/>
        <v>9.8859743191183327</v>
      </c>
      <c r="RK21">
        <f t="shared" ca="1" si="20"/>
        <v>9.8896570053307205</v>
      </c>
      <c r="RL21">
        <f t="shared" ca="1" si="20"/>
        <v>9.8841593059857775</v>
      </c>
      <c r="RM21">
        <f t="shared" ca="1" si="20"/>
        <v>9.8872591608080498</v>
      </c>
      <c r="RN21">
        <f t="shared" ca="1" si="20"/>
        <v>9.8883434362512403</v>
      </c>
      <c r="RO21">
        <f t="shared" ca="1" si="20"/>
        <v>9.8879520440013327</v>
      </c>
      <c r="RP21">
        <f t="shared" ca="1" si="20"/>
        <v>9.8866299221581766</v>
      </c>
      <c r="RQ21">
        <f t="shared" ca="1" si="20"/>
        <v>9.8877553529747626</v>
      </c>
      <c r="RR21">
        <f t="shared" ca="1" si="20"/>
        <v>9.8878634461924015</v>
      </c>
      <c r="RS21">
        <f t="shared" ca="1" si="20"/>
        <v>9.8869183422800813</v>
      </c>
      <c r="RT21">
        <f t="shared" ca="1" si="20"/>
        <v>9.8873164375370646</v>
      </c>
      <c r="RU21">
        <f t="shared" ca="1" si="20"/>
        <v>9.8880555305641291</v>
      </c>
      <c r="RV21">
        <f t="shared" ca="1" si="20"/>
        <v>9.8877258427295764</v>
      </c>
      <c r="RW21">
        <f t="shared" ca="1" si="20"/>
        <v>9.8891628809123038</v>
      </c>
      <c r="RX21">
        <f t="shared" ca="1" si="20"/>
        <v>9.8919280381627939</v>
      </c>
      <c r="RY21">
        <f t="shared" ca="1" si="20"/>
        <v>9.8858795846151182</v>
      </c>
      <c r="RZ21">
        <f t="shared" ca="1" si="20"/>
        <v>9.887368145147672</v>
      </c>
      <c r="SA21">
        <f t="shared" ca="1" si="20"/>
        <v>9.8908660127656081</v>
      </c>
      <c r="SB21">
        <f t="shared" ca="1" si="20"/>
        <v>9.8856653827671082</v>
      </c>
      <c r="SC21">
        <f t="shared" ca="1" si="20"/>
        <v>9.8921617770165735</v>
      </c>
      <c r="SD21">
        <f t="shared" ca="1" si="20"/>
        <v>9.8855630660904836</v>
      </c>
      <c r="SE21">
        <f t="shared" ca="1" si="20"/>
        <v>9.8855463108805939</v>
      </c>
      <c r="SF21">
        <f t="shared" ca="1" si="20"/>
        <v>9.892396079595331</v>
      </c>
      <c r="SG21">
        <f t="shared" ca="1" si="20"/>
        <v>9.8836333291963374</v>
      </c>
    </row>
    <row r="22" spans="1:501" x14ac:dyDescent="0.3">
      <c r="A22" s="1">
        <v>45699</v>
      </c>
      <c r="B22">
        <f t="shared" ca="1" si="11"/>
        <v>9.8567734563796652</v>
      </c>
      <c r="C22">
        <f t="shared" ca="1" si="21"/>
        <v>9.856064988223789</v>
      </c>
      <c r="D22">
        <f t="shared" ca="1" si="21"/>
        <v>9.8603162955854806</v>
      </c>
      <c r="E22">
        <f t="shared" ca="1" si="21"/>
        <v>9.85115895512374</v>
      </c>
      <c r="F22">
        <f t="shared" ca="1" si="21"/>
        <v>9.8585212563000031</v>
      </c>
      <c r="G22">
        <f t="shared" ca="1" si="21"/>
        <v>9.8545421250069118</v>
      </c>
      <c r="H22">
        <f t="shared" ca="1" si="21"/>
        <v>9.8581803094864746</v>
      </c>
      <c r="I22">
        <f t="shared" ca="1" si="21"/>
        <v>9.8559975690613868</v>
      </c>
      <c r="J22">
        <f t="shared" ca="1" si="21"/>
        <v>9.8588657639551069</v>
      </c>
      <c r="K22">
        <f t="shared" ca="1" si="21"/>
        <v>9.857775337170489</v>
      </c>
      <c r="L22">
        <f t="shared" ca="1" si="21"/>
        <v>9.8538611399866642</v>
      </c>
      <c r="M22">
        <f t="shared" ca="1" si="21"/>
        <v>9.8583984549770438</v>
      </c>
      <c r="N22">
        <f t="shared" ca="1" si="21"/>
        <v>9.8542855294267504</v>
      </c>
      <c r="O22">
        <f t="shared" ca="1" si="21"/>
        <v>9.8567969552664163</v>
      </c>
      <c r="P22">
        <f t="shared" ca="1" si="21"/>
        <v>9.860319831984409</v>
      </c>
      <c r="Q22">
        <f t="shared" ca="1" si="21"/>
        <v>9.8648899745694365</v>
      </c>
      <c r="R22">
        <f t="shared" ca="1" si="21"/>
        <v>9.8575870111195414</v>
      </c>
      <c r="S22">
        <f t="shared" ca="1" si="21"/>
        <v>9.8573267147148353</v>
      </c>
      <c r="T22">
        <f t="shared" ca="1" si="21"/>
        <v>9.8576234672987084</v>
      </c>
      <c r="U22">
        <f t="shared" ca="1" si="21"/>
        <v>9.859061175402994</v>
      </c>
      <c r="V22">
        <f t="shared" ca="1" si="21"/>
        <v>9.8572802532246104</v>
      </c>
      <c r="W22">
        <f t="shared" ca="1" si="21"/>
        <v>9.8591777365161199</v>
      </c>
      <c r="X22">
        <f t="shared" ca="1" si="21"/>
        <v>9.8618054755890849</v>
      </c>
      <c r="Y22">
        <f t="shared" ca="1" si="21"/>
        <v>9.8616874478046732</v>
      </c>
      <c r="Z22">
        <f t="shared" ca="1" si="21"/>
        <v>9.860756334756033</v>
      </c>
      <c r="AA22">
        <f t="shared" ca="1" si="21"/>
        <v>9.8573988198247573</v>
      </c>
      <c r="AB22">
        <f t="shared" ca="1" si="21"/>
        <v>9.8574639292846289</v>
      </c>
      <c r="AC22">
        <f t="shared" ca="1" si="21"/>
        <v>9.8580667340575303</v>
      </c>
      <c r="AD22">
        <f t="shared" ca="1" si="21"/>
        <v>9.8594838201871724</v>
      </c>
      <c r="AE22">
        <f t="shared" ca="1" si="21"/>
        <v>9.8567397203327385</v>
      </c>
      <c r="AF22">
        <f t="shared" ca="1" si="21"/>
        <v>9.8577982749689443</v>
      </c>
      <c r="AG22">
        <f t="shared" ca="1" si="21"/>
        <v>9.8566212552273651</v>
      </c>
      <c r="AH22">
        <f t="shared" ca="1" si="21"/>
        <v>9.860852401236766</v>
      </c>
      <c r="AI22">
        <f t="shared" ca="1" si="21"/>
        <v>9.8595181835123888</v>
      </c>
      <c r="AJ22">
        <f t="shared" ca="1" si="21"/>
        <v>9.8574297526232488</v>
      </c>
      <c r="AK22">
        <f t="shared" ca="1" si="21"/>
        <v>9.8583243671163494</v>
      </c>
      <c r="AL22">
        <f t="shared" ca="1" si="21"/>
        <v>9.8593093501717366</v>
      </c>
      <c r="AM22">
        <f t="shared" ca="1" si="21"/>
        <v>9.8599984312215376</v>
      </c>
      <c r="AN22">
        <f t="shared" ca="1" si="21"/>
        <v>9.8615992828396131</v>
      </c>
      <c r="AO22">
        <f t="shared" ca="1" si="21"/>
        <v>9.8578639966449053</v>
      </c>
      <c r="AP22">
        <f t="shared" ca="1" si="21"/>
        <v>9.858083048541042</v>
      </c>
      <c r="AQ22">
        <f t="shared" ca="1" si="21"/>
        <v>9.8596638888924559</v>
      </c>
      <c r="AR22">
        <f t="shared" ca="1" si="21"/>
        <v>9.8546946665778528</v>
      </c>
      <c r="AS22">
        <f t="shared" ca="1" si="21"/>
        <v>9.8569695739445677</v>
      </c>
      <c r="AT22">
        <f t="shared" ca="1" si="21"/>
        <v>9.8562378120719263</v>
      </c>
      <c r="AU22">
        <f t="shared" ca="1" si="21"/>
        <v>9.8570811086327801</v>
      </c>
      <c r="AV22">
        <f t="shared" ca="1" si="21"/>
        <v>9.8582189663497566</v>
      </c>
      <c r="AW22">
        <f t="shared" ca="1" si="21"/>
        <v>9.8550770735956412</v>
      </c>
      <c r="AX22">
        <f t="shared" ca="1" si="21"/>
        <v>9.8574542601932684</v>
      </c>
      <c r="AY22">
        <f t="shared" ca="1" si="21"/>
        <v>9.8593995396663932</v>
      </c>
      <c r="AZ22">
        <f t="shared" ca="1" si="21"/>
        <v>9.8571368137182791</v>
      </c>
      <c r="BA22">
        <f t="shared" ca="1" si="21"/>
        <v>9.8555824379487778</v>
      </c>
      <c r="BB22">
        <f t="shared" ca="1" si="21"/>
        <v>9.8580194328617363</v>
      </c>
      <c r="BC22">
        <f t="shared" ca="1" si="21"/>
        <v>9.8578018595486849</v>
      </c>
      <c r="BD22">
        <f t="shared" ca="1" si="21"/>
        <v>9.8592851428185142</v>
      </c>
      <c r="BE22">
        <f t="shared" ca="1" si="21"/>
        <v>9.8582386873873169</v>
      </c>
      <c r="BF22">
        <f t="shared" ca="1" si="21"/>
        <v>9.8588500977993867</v>
      </c>
      <c r="BG22">
        <f t="shared" ca="1" si="21"/>
        <v>9.8603155074483304</v>
      </c>
      <c r="BH22">
        <f t="shared" ca="1" si="21"/>
        <v>9.8566976654951919</v>
      </c>
      <c r="BI22">
        <f t="shared" ca="1" si="21"/>
        <v>9.85993210729346</v>
      </c>
      <c r="BJ22">
        <f t="shared" ca="1" si="21"/>
        <v>9.8598739325042413</v>
      </c>
      <c r="BK22">
        <f t="shared" ca="1" si="21"/>
        <v>9.8540307516213694</v>
      </c>
      <c r="BL22">
        <f t="shared" ca="1" si="21"/>
        <v>9.8597952898746453</v>
      </c>
      <c r="BM22">
        <f t="shared" ca="1" si="21"/>
        <v>9.8570965268519473</v>
      </c>
      <c r="BN22">
        <f t="shared" ca="1" si="21"/>
        <v>9.8605978541223429</v>
      </c>
      <c r="BO22">
        <f t="shared" ca="1" si="19"/>
        <v>9.8670281120900896</v>
      </c>
      <c r="BP22">
        <f t="shared" ca="1" si="19"/>
        <v>9.8597020932710713</v>
      </c>
      <c r="BQ22">
        <f t="shared" ca="1" si="19"/>
        <v>9.8547171190063061</v>
      </c>
      <c r="BR22">
        <f t="shared" ca="1" si="19"/>
        <v>9.8564187850428429</v>
      </c>
      <c r="BS22">
        <f t="shared" ca="1" si="19"/>
        <v>9.8574457511886582</v>
      </c>
      <c r="BT22">
        <f t="shared" ca="1" si="19"/>
        <v>9.8591358313518729</v>
      </c>
      <c r="BU22">
        <f t="shared" ca="1" si="19"/>
        <v>9.8605895464242224</v>
      </c>
      <c r="BV22">
        <f t="shared" ca="1" si="19"/>
        <v>9.8609057312448538</v>
      </c>
      <c r="BW22">
        <f t="shared" ca="1" si="19"/>
        <v>9.858802146352339</v>
      </c>
      <c r="BX22">
        <f t="shared" ca="1" si="19"/>
        <v>9.8584907292554096</v>
      </c>
      <c r="BY22">
        <f t="shared" ca="1" si="19"/>
        <v>9.8643783703854755</v>
      </c>
      <c r="BZ22">
        <f t="shared" ca="1" si="19"/>
        <v>9.8570097772321859</v>
      </c>
      <c r="CA22">
        <f t="shared" ca="1" si="19"/>
        <v>9.8567222045728009</v>
      </c>
      <c r="CB22">
        <f t="shared" ca="1" si="19"/>
        <v>9.8562420872547687</v>
      </c>
      <c r="CC22">
        <f t="shared" ca="1" si="19"/>
        <v>9.857693644371432</v>
      </c>
      <c r="CD22">
        <f t="shared" ca="1" si="19"/>
        <v>9.8563654909589147</v>
      </c>
      <c r="CE22">
        <f t="shared" ca="1" si="19"/>
        <v>9.8549357272717391</v>
      </c>
      <c r="CF22">
        <f t="shared" ca="1" si="19"/>
        <v>9.8597692148567955</v>
      </c>
      <c r="CG22">
        <f t="shared" ca="1" si="19"/>
        <v>9.8619417037267052</v>
      </c>
      <c r="CH22">
        <f t="shared" ca="1" si="19"/>
        <v>9.858096379423591</v>
      </c>
      <c r="CI22">
        <f t="shared" ca="1" si="19"/>
        <v>9.8557873862644279</v>
      </c>
      <c r="CJ22">
        <f t="shared" ca="1" si="19"/>
        <v>9.8569833373846443</v>
      </c>
      <c r="CK22">
        <f t="shared" ca="1" si="19"/>
        <v>9.8586324489985504</v>
      </c>
      <c r="CL22">
        <f t="shared" ca="1" si="19"/>
        <v>9.8587830230992299</v>
      </c>
      <c r="CM22">
        <f t="shared" ca="1" si="19"/>
        <v>9.8566771852753696</v>
      </c>
      <c r="CN22">
        <f t="shared" ca="1" si="19"/>
        <v>9.8578801087633288</v>
      </c>
      <c r="CO22">
        <f t="shared" ca="1" si="19"/>
        <v>9.8589583831449943</v>
      </c>
      <c r="CP22">
        <f t="shared" ca="1" si="19"/>
        <v>9.8621380336065947</v>
      </c>
      <c r="CQ22">
        <f t="shared" ca="1" si="19"/>
        <v>9.8576519197281858</v>
      </c>
      <c r="CR22">
        <f t="shared" ca="1" si="19"/>
        <v>9.8598473605772678</v>
      </c>
      <c r="CS22">
        <f t="shared" ca="1" si="19"/>
        <v>9.8547176896257209</v>
      </c>
      <c r="CT22">
        <f t="shared" ca="1" si="19"/>
        <v>9.8628765885294509</v>
      </c>
      <c r="CU22">
        <f t="shared" ca="1" si="19"/>
        <v>9.8566776813093604</v>
      </c>
      <c r="CV22">
        <f t="shared" ca="1" si="19"/>
        <v>9.8620118300011015</v>
      </c>
      <c r="CW22">
        <f t="shared" ca="1" si="19"/>
        <v>9.8576889046999732</v>
      </c>
      <c r="CX22">
        <f t="shared" ca="1" si="19"/>
        <v>9.8589400135086649</v>
      </c>
      <c r="CY22">
        <f t="shared" ca="1" si="19"/>
        <v>9.8608040614103452</v>
      </c>
      <c r="CZ22">
        <f t="shared" ca="1" si="19"/>
        <v>9.8577996389846607</v>
      </c>
      <c r="DA22">
        <f t="shared" ca="1" si="19"/>
        <v>9.8607411785433463</v>
      </c>
      <c r="DB22">
        <f t="shared" ca="1" si="19"/>
        <v>9.8592067099748775</v>
      </c>
      <c r="DC22">
        <f t="shared" ca="1" si="19"/>
        <v>9.8559363924391725</v>
      </c>
      <c r="DD22">
        <f t="shared" ca="1" si="19"/>
        <v>9.8571135380986661</v>
      </c>
      <c r="DE22">
        <f t="shared" ca="1" si="19"/>
        <v>9.8570392135183145</v>
      </c>
      <c r="DF22">
        <f t="shared" ca="1" si="19"/>
        <v>9.8559347715315013</v>
      </c>
      <c r="DG22">
        <f t="shared" ca="1" si="19"/>
        <v>9.8546437781024103</v>
      </c>
      <c r="DH22">
        <f t="shared" ca="1" si="19"/>
        <v>9.8615415335295538</v>
      </c>
      <c r="DI22">
        <f t="shared" ca="1" si="19"/>
        <v>9.8550355914254535</v>
      </c>
      <c r="DJ22">
        <f t="shared" ca="1" si="19"/>
        <v>9.8580352541814538</v>
      </c>
      <c r="DK22">
        <f t="shared" ca="1" si="19"/>
        <v>9.8606352045550523</v>
      </c>
      <c r="DL22">
        <f t="shared" ca="1" si="19"/>
        <v>9.8594886387069902</v>
      </c>
      <c r="DM22">
        <f t="shared" ca="1" si="19"/>
        <v>9.8578735850348842</v>
      </c>
      <c r="DN22">
        <f t="shared" ca="1" si="19"/>
        <v>9.8578656958655486</v>
      </c>
      <c r="DO22">
        <f t="shared" ca="1" si="19"/>
        <v>9.8609851478388251</v>
      </c>
      <c r="DP22">
        <f t="shared" ca="1" si="19"/>
        <v>9.8613693451092086</v>
      </c>
      <c r="DQ22">
        <f t="shared" ca="1" si="19"/>
        <v>9.8592934912094723</v>
      </c>
      <c r="DR22">
        <f t="shared" ca="1" si="19"/>
        <v>9.856772894511824</v>
      </c>
      <c r="DS22">
        <f t="shared" ca="1" si="19"/>
        <v>9.8567989475090769</v>
      </c>
      <c r="DT22">
        <f t="shared" ca="1" si="19"/>
        <v>9.8566094628048813</v>
      </c>
      <c r="DU22">
        <f t="shared" ca="1" si="19"/>
        <v>9.8574499540840552</v>
      </c>
      <c r="DV22">
        <f t="shared" ca="1" si="19"/>
        <v>9.854390647605122</v>
      </c>
      <c r="DW22">
        <f t="shared" ca="1" si="19"/>
        <v>9.8637262399069083</v>
      </c>
      <c r="DX22">
        <f t="shared" ca="1" si="19"/>
        <v>9.8537939679842328</v>
      </c>
      <c r="DY22">
        <f t="shared" ca="1" si="19"/>
        <v>9.860040321653182</v>
      </c>
      <c r="DZ22">
        <f t="shared" ca="1" si="16"/>
        <v>9.8613695533970258</v>
      </c>
      <c r="EA22">
        <f t="shared" ca="1" si="13"/>
        <v>9.8620913324017483</v>
      </c>
      <c r="EB22">
        <f t="shared" ca="1" si="13"/>
        <v>9.8573939062719198</v>
      </c>
      <c r="EC22">
        <f t="shared" ref="EC22:GN23" ca="1" si="22">$B9*EXP(($I9-$J10-($H9^2)/2)*(1/52)+$H9*SQRT(1/52)*_xlfn.NORM.INV(RAND(),0,1))</f>
        <v>9.8584477224450886</v>
      </c>
      <c r="ED22">
        <f t="shared" ca="1" si="22"/>
        <v>9.8636809328848969</v>
      </c>
      <c r="EE22">
        <f t="shared" ca="1" si="22"/>
        <v>9.8585882966027114</v>
      </c>
      <c r="EF22">
        <f t="shared" ca="1" si="22"/>
        <v>9.8598115583835106</v>
      </c>
      <c r="EG22">
        <f t="shared" ca="1" si="22"/>
        <v>9.8585183972052324</v>
      </c>
      <c r="EH22">
        <f t="shared" ca="1" si="22"/>
        <v>9.8582455815255017</v>
      </c>
      <c r="EI22">
        <f t="shared" ca="1" si="22"/>
        <v>9.8598832541861814</v>
      </c>
      <c r="EJ22">
        <f t="shared" ca="1" si="22"/>
        <v>9.8561538422474868</v>
      </c>
      <c r="EK22">
        <f t="shared" ca="1" si="22"/>
        <v>9.859416603280108</v>
      </c>
      <c r="EL22">
        <f t="shared" ca="1" si="22"/>
        <v>9.8581715554755309</v>
      </c>
      <c r="EM22">
        <f t="shared" ca="1" si="22"/>
        <v>9.8583693751792367</v>
      </c>
      <c r="EN22">
        <f t="shared" ca="1" si="22"/>
        <v>9.8581032580948484</v>
      </c>
      <c r="EO22">
        <f t="shared" ca="1" si="22"/>
        <v>9.8546321228205578</v>
      </c>
      <c r="EP22">
        <f t="shared" ca="1" si="22"/>
        <v>9.862707669563008</v>
      </c>
      <c r="EQ22">
        <f t="shared" ca="1" si="22"/>
        <v>9.8557426970451125</v>
      </c>
      <c r="ER22">
        <f t="shared" ca="1" si="22"/>
        <v>9.8530202095946393</v>
      </c>
      <c r="ES22">
        <f t="shared" ca="1" si="22"/>
        <v>9.8591191918223942</v>
      </c>
      <c r="ET22">
        <f t="shared" ca="1" si="22"/>
        <v>9.8560051529061301</v>
      </c>
      <c r="EU22">
        <f t="shared" ca="1" si="22"/>
        <v>9.8543992167502008</v>
      </c>
      <c r="EV22">
        <f t="shared" ca="1" si="22"/>
        <v>9.858411182836365</v>
      </c>
      <c r="EW22">
        <f t="shared" ca="1" si="22"/>
        <v>9.8592919210885128</v>
      </c>
      <c r="EX22">
        <f t="shared" ca="1" si="22"/>
        <v>9.8595226343278277</v>
      </c>
      <c r="EY22">
        <f t="shared" ca="1" si="22"/>
        <v>9.8606756638735558</v>
      </c>
      <c r="EZ22">
        <f t="shared" ca="1" si="22"/>
        <v>9.8535260561778202</v>
      </c>
      <c r="FA22">
        <f t="shared" ca="1" si="22"/>
        <v>9.8581242071291868</v>
      </c>
      <c r="FB22">
        <f t="shared" ca="1" si="22"/>
        <v>9.8554847591984096</v>
      </c>
      <c r="FC22">
        <f t="shared" ca="1" si="22"/>
        <v>9.8576619344455025</v>
      </c>
      <c r="FD22">
        <f t="shared" ca="1" si="22"/>
        <v>9.8600618627041712</v>
      </c>
      <c r="FE22">
        <f t="shared" ca="1" si="22"/>
        <v>9.8528741288829789</v>
      </c>
      <c r="FF22">
        <f t="shared" ca="1" si="22"/>
        <v>9.8634638002332107</v>
      </c>
      <c r="FG22">
        <f t="shared" ca="1" si="22"/>
        <v>9.8547597434229619</v>
      </c>
      <c r="FH22">
        <f t="shared" ca="1" si="22"/>
        <v>9.8592977370803307</v>
      </c>
      <c r="FI22">
        <f t="shared" ca="1" si="22"/>
        <v>9.8601053805881858</v>
      </c>
      <c r="FJ22">
        <f t="shared" ca="1" si="22"/>
        <v>9.8580547287996101</v>
      </c>
      <c r="FK22">
        <f t="shared" ca="1" si="22"/>
        <v>9.8545267909584648</v>
      </c>
      <c r="FL22">
        <f t="shared" ca="1" si="22"/>
        <v>9.8556566775335703</v>
      </c>
      <c r="FM22">
        <f t="shared" ca="1" si="22"/>
        <v>9.8600805768397759</v>
      </c>
      <c r="FN22">
        <f t="shared" ca="1" si="22"/>
        <v>9.859328538611889</v>
      </c>
      <c r="FO22">
        <f t="shared" ca="1" si="22"/>
        <v>9.8571326662964438</v>
      </c>
      <c r="FP22">
        <f t="shared" ca="1" si="22"/>
        <v>9.8582882099665206</v>
      </c>
      <c r="FQ22">
        <f t="shared" ca="1" si="22"/>
        <v>9.8573630907832257</v>
      </c>
      <c r="FR22">
        <f t="shared" ca="1" si="22"/>
        <v>9.8570757461923932</v>
      </c>
      <c r="FS22">
        <f t="shared" ca="1" si="22"/>
        <v>9.8612238831975709</v>
      </c>
      <c r="FT22">
        <f t="shared" ca="1" si="22"/>
        <v>9.8538933474457266</v>
      </c>
      <c r="FU22">
        <f t="shared" ca="1" si="22"/>
        <v>9.8580504718000164</v>
      </c>
      <c r="FV22">
        <f t="shared" ca="1" si="22"/>
        <v>9.8555827185557643</v>
      </c>
      <c r="FW22">
        <f t="shared" ca="1" si="22"/>
        <v>9.8577313460731517</v>
      </c>
      <c r="FX22">
        <f t="shared" ca="1" si="22"/>
        <v>9.8560776248408892</v>
      </c>
      <c r="FY22">
        <f t="shared" ca="1" si="22"/>
        <v>9.8628729853325954</v>
      </c>
      <c r="FZ22">
        <f t="shared" ca="1" si="22"/>
        <v>9.8580309923570759</v>
      </c>
      <c r="GA22">
        <f t="shared" ca="1" si="22"/>
        <v>9.8591338255679872</v>
      </c>
      <c r="GB22">
        <f t="shared" ca="1" si="22"/>
        <v>9.8622997763310067</v>
      </c>
      <c r="GC22">
        <f t="shared" ca="1" si="22"/>
        <v>9.8560597375148991</v>
      </c>
      <c r="GD22">
        <f t="shared" ca="1" si="22"/>
        <v>9.8596018051933552</v>
      </c>
      <c r="GE22">
        <f t="shared" ca="1" si="22"/>
        <v>9.8545233357259008</v>
      </c>
      <c r="GF22">
        <f t="shared" ca="1" si="22"/>
        <v>9.856653810026339</v>
      </c>
      <c r="GG22">
        <f t="shared" ca="1" si="22"/>
        <v>9.8572522314488875</v>
      </c>
      <c r="GH22">
        <f t="shared" ca="1" si="22"/>
        <v>9.8600247479559524</v>
      </c>
      <c r="GI22">
        <f t="shared" ca="1" si="22"/>
        <v>9.8602376867994685</v>
      </c>
      <c r="GJ22">
        <f t="shared" ca="1" si="22"/>
        <v>9.8546059899427725</v>
      </c>
      <c r="GK22">
        <f t="shared" ca="1" si="22"/>
        <v>9.8590520289581409</v>
      </c>
      <c r="GL22">
        <f t="shared" ca="1" si="22"/>
        <v>9.8582092788056723</v>
      </c>
      <c r="GM22">
        <f t="shared" ca="1" si="22"/>
        <v>9.8592337508350365</v>
      </c>
      <c r="GN22">
        <f t="shared" ca="1" si="22"/>
        <v>9.8573651527731911</v>
      </c>
      <c r="GO22">
        <f t="shared" ca="1" si="17"/>
        <v>9.8612311793263991</v>
      </c>
      <c r="GP22">
        <f t="shared" ca="1" si="17"/>
        <v>9.8618845438346767</v>
      </c>
      <c r="GQ22">
        <f t="shared" ca="1" si="17"/>
        <v>9.8566605530778375</v>
      </c>
      <c r="GR22">
        <f t="shared" ca="1" si="17"/>
        <v>9.8571373081851021</v>
      </c>
      <c r="GS22">
        <f t="shared" ca="1" si="17"/>
        <v>9.8614162017165974</v>
      </c>
      <c r="GT22">
        <f t="shared" ca="1" si="17"/>
        <v>9.8595691982409477</v>
      </c>
      <c r="GU22">
        <f t="shared" ca="1" si="17"/>
        <v>9.8544359507141532</v>
      </c>
      <c r="GV22">
        <f t="shared" ca="1" si="17"/>
        <v>9.8583057299110166</v>
      </c>
      <c r="GW22">
        <f t="shared" ca="1" si="17"/>
        <v>9.8548617616405032</v>
      </c>
      <c r="GX22">
        <f t="shared" ca="1" si="17"/>
        <v>9.8571309709479582</v>
      </c>
      <c r="GY22">
        <f t="shared" ca="1" si="17"/>
        <v>9.8606480409715918</v>
      </c>
      <c r="GZ22">
        <f t="shared" ca="1" si="17"/>
        <v>9.8566723106309979</v>
      </c>
      <c r="HA22">
        <f t="shared" ca="1" si="17"/>
        <v>9.8587876771731153</v>
      </c>
      <c r="HB22">
        <f t="shared" ca="1" si="17"/>
        <v>9.8586530377698853</v>
      </c>
      <c r="HC22">
        <f t="shared" ca="1" si="17"/>
        <v>9.8593851962529655</v>
      </c>
      <c r="HD22">
        <f t="shared" ca="1" si="17"/>
        <v>9.8584232144967512</v>
      </c>
      <c r="HE22">
        <f t="shared" ca="1" si="17"/>
        <v>9.8547408706146502</v>
      </c>
      <c r="HF22">
        <f t="shared" ca="1" si="17"/>
        <v>9.8540948971778057</v>
      </c>
      <c r="HG22">
        <f t="shared" ca="1" si="17"/>
        <v>9.8610319620002489</v>
      </c>
      <c r="HH22">
        <f t="shared" ca="1" si="17"/>
        <v>9.8614141998469442</v>
      </c>
      <c r="HI22">
        <f t="shared" ca="1" si="17"/>
        <v>9.8598604198338577</v>
      </c>
      <c r="HJ22">
        <f t="shared" ca="1" si="17"/>
        <v>9.8600853923678322</v>
      </c>
      <c r="HK22">
        <f t="shared" ca="1" si="17"/>
        <v>9.8624464052403855</v>
      </c>
      <c r="HL22">
        <f t="shared" ca="1" si="17"/>
        <v>9.8585029078760176</v>
      </c>
      <c r="HM22">
        <f t="shared" ca="1" si="17"/>
        <v>9.8528337526861538</v>
      </c>
      <c r="HN22">
        <f t="shared" ca="1" si="17"/>
        <v>9.8568801679472298</v>
      </c>
      <c r="HO22">
        <f t="shared" ca="1" si="17"/>
        <v>9.8609765151533111</v>
      </c>
      <c r="HP22">
        <f t="shared" ca="1" si="17"/>
        <v>9.8598699337580058</v>
      </c>
      <c r="HQ22">
        <f t="shared" ca="1" si="17"/>
        <v>9.8554283595158232</v>
      </c>
      <c r="HR22">
        <f t="shared" ca="1" si="17"/>
        <v>9.8633860538410421</v>
      </c>
      <c r="HS22">
        <f t="shared" ca="1" si="17"/>
        <v>9.8590809591958823</v>
      </c>
      <c r="HT22">
        <f t="shared" ca="1" si="17"/>
        <v>9.8528381332878379</v>
      </c>
      <c r="HU22">
        <f t="shared" ca="1" si="17"/>
        <v>9.8560763703866652</v>
      </c>
      <c r="HV22">
        <f t="shared" ca="1" si="17"/>
        <v>9.8567967726894068</v>
      </c>
      <c r="HW22">
        <f t="shared" ca="1" si="17"/>
        <v>9.8561197210199119</v>
      </c>
      <c r="HX22">
        <f t="shared" ca="1" si="17"/>
        <v>9.86207713306373</v>
      </c>
      <c r="HY22">
        <f t="shared" ca="1" si="17"/>
        <v>9.8531313585676585</v>
      </c>
      <c r="HZ22">
        <f t="shared" ca="1" si="17"/>
        <v>9.8624212366918886</v>
      </c>
      <c r="IA22">
        <f t="shared" ca="1" si="17"/>
        <v>9.8572768257998273</v>
      </c>
      <c r="IB22">
        <f t="shared" ca="1" si="17"/>
        <v>9.858009246554758</v>
      </c>
      <c r="IC22">
        <f t="shared" ca="1" si="17"/>
        <v>9.8598668185221889</v>
      </c>
      <c r="ID22">
        <f t="shared" ca="1" si="17"/>
        <v>9.8571849632139816</v>
      </c>
      <c r="IE22">
        <f t="shared" ca="1" si="17"/>
        <v>9.8585440140392091</v>
      </c>
      <c r="IF22">
        <f t="shared" ca="1" si="17"/>
        <v>9.8610363440941118</v>
      </c>
      <c r="IG22">
        <f t="shared" ca="1" si="17"/>
        <v>9.8546843270536826</v>
      </c>
      <c r="IH22">
        <f t="shared" ca="1" si="17"/>
        <v>9.8575027393219816</v>
      </c>
      <c r="II22">
        <f t="shared" ca="1" si="17"/>
        <v>9.8582199337953416</v>
      </c>
      <c r="IJ22">
        <f t="shared" ca="1" si="17"/>
        <v>9.8591550836268915</v>
      </c>
      <c r="IK22">
        <f t="shared" ca="1" si="17"/>
        <v>9.8615003954172149</v>
      </c>
      <c r="IL22">
        <f t="shared" ca="1" si="17"/>
        <v>9.8596897432439476</v>
      </c>
      <c r="IM22">
        <f t="shared" ca="1" si="17"/>
        <v>9.8539074400659725</v>
      </c>
      <c r="IN22">
        <f t="shared" ca="1" si="17"/>
        <v>9.8577570401714034</v>
      </c>
      <c r="IO22">
        <f t="shared" ca="1" si="17"/>
        <v>9.8602464344196274</v>
      </c>
      <c r="IP22">
        <f t="shared" ca="1" si="17"/>
        <v>9.8585388447903579</v>
      </c>
      <c r="IQ22">
        <f t="shared" ca="1" si="17"/>
        <v>9.8561224374418046</v>
      </c>
      <c r="IR22">
        <f t="shared" ca="1" si="17"/>
        <v>9.8637022976719404</v>
      </c>
      <c r="IS22">
        <f t="shared" ca="1" si="17"/>
        <v>9.8576493246465944</v>
      </c>
      <c r="IT22">
        <f t="shared" ca="1" si="17"/>
        <v>9.8603730573118078</v>
      </c>
      <c r="IU22">
        <f t="shared" ca="1" si="17"/>
        <v>9.8556839375036862</v>
      </c>
      <c r="IV22">
        <f t="shared" ca="1" si="17"/>
        <v>9.8611714737414022</v>
      </c>
      <c r="IW22">
        <f t="shared" ca="1" si="17"/>
        <v>9.8584558961051378</v>
      </c>
      <c r="IX22">
        <f t="shared" ca="1" si="17"/>
        <v>9.8557677528468801</v>
      </c>
      <c r="IY22">
        <f t="shared" ca="1" si="14"/>
        <v>9.8566826496808293</v>
      </c>
      <c r="IZ22">
        <f t="shared" ca="1" si="14"/>
        <v>9.8578686631927042</v>
      </c>
      <c r="JA22">
        <f t="shared" ref="JA22:LL23" ca="1" si="23">$B9*EXP(($I9-$J10-($H9^2)/2)*(1/52)+$H9*SQRT(1/52)*_xlfn.NORM.INV(RAND(),0,1))</f>
        <v>9.8558613044272665</v>
      </c>
      <c r="JB22">
        <f t="shared" ca="1" si="23"/>
        <v>9.8579175808152311</v>
      </c>
      <c r="JC22">
        <f t="shared" ca="1" si="23"/>
        <v>9.8600296131068728</v>
      </c>
      <c r="JD22">
        <f t="shared" ca="1" si="23"/>
        <v>9.8559970806173549</v>
      </c>
      <c r="JE22">
        <f t="shared" ca="1" si="23"/>
        <v>9.8549556241545719</v>
      </c>
      <c r="JF22">
        <f t="shared" ca="1" si="23"/>
        <v>9.8583499517051809</v>
      </c>
      <c r="JG22">
        <f t="shared" ca="1" si="23"/>
        <v>9.8603776906334257</v>
      </c>
      <c r="JH22">
        <f t="shared" ca="1" si="23"/>
        <v>9.8579831786352639</v>
      </c>
      <c r="JI22">
        <f t="shared" ca="1" si="23"/>
        <v>9.8604021685914525</v>
      </c>
      <c r="JJ22">
        <f t="shared" ca="1" si="23"/>
        <v>9.8583827946499287</v>
      </c>
      <c r="JK22">
        <f t="shared" ca="1" si="23"/>
        <v>9.8545881781128877</v>
      </c>
      <c r="JL22">
        <f t="shared" ca="1" si="23"/>
        <v>9.8560311605753537</v>
      </c>
      <c r="JM22">
        <f t="shared" ca="1" si="23"/>
        <v>9.8624907796711678</v>
      </c>
      <c r="JN22">
        <f t="shared" ca="1" si="23"/>
        <v>9.8564040152137231</v>
      </c>
      <c r="JO22">
        <f t="shared" ca="1" si="23"/>
        <v>9.8587068676045995</v>
      </c>
      <c r="JP22">
        <f t="shared" ca="1" si="23"/>
        <v>9.8575222951129611</v>
      </c>
      <c r="JQ22">
        <f t="shared" ca="1" si="23"/>
        <v>9.8578123454446196</v>
      </c>
      <c r="JR22">
        <f t="shared" ca="1" si="23"/>
        <v>9.8523262600357668</v>
      </c>
      <c r="JS22">
        <f t="shared" ca="1" si="23"/>
        <v>9.860425905811363</v>
      </c>
      <c r="JT22">
        <f t="shared" ca="1" si="23"/>
        <v>9.857561346184303</v>
      </c>
      <c r="JU22">
        <f t="shared" ca="1" si="23"/>
        <v>9.8580398206946462</v>
      </c>
      <c r="JV22">
        <f t="shared" ca="1" si="23"/>
        <v>9.8594239732858853</v>
      </c>
      <c r="JW22">
        <f t="shared" ca="1" si="23"/>
        <v>9.8589468861247145</v>
      </c>
      <c r="JX22">
        <f t="shared" ca="1" si="23"/>
        <v>9.8621094518091965</v>
      </c>
      <c r="JY22">
        <f t="shared" ca="1" si="23"/>
        <v>9.8604052961757009</v>
      </c>
      <c r="JZ22">
        <f t="shared" ca="1" si="23"/>
        <v>9.861704725467856</v>
      </c>
      <c r="KA22">
        <f t="shared" ca="1" si="23"/>
        <v>9.8582569607351811</v>
      </c>
      <c r="KB22">
        <f t="shared" ca="1" si="23"/>
        <v>9.8562747130708193</v>
      </c>
      <c r="KC22">
        <f t="shared" ca="1" si="23"/>
        <v>9.8581366435440732</v>
      </c>
      <c r="KD22">
        <f t="shared" ca="1" si="23"/>
        <v>9.855529669830851</v>
      </c>
      <c r="KE22">
        <f t="shared" ca="1" si="23"/>
        <v>9.8586326326573062</v>
      </c>
      <c r="KF22">
        <f t="shared" ca="1" si="23"/>
        <v>9.8539672298915715</v>
      </c>
      <c r="KG22">
        <f t="shared" ca="1" si="23"/>
        <v>9.8624553800739996</v>
      </c>
      <c r="KH22">
        <f t="shared" ca="1" si="23"/>
        <v>9.8591290746222882</v>
      </c>
      <c r="KI22">
        <f t="shared" ca="1" si="23"/>
        <v>9.8604661001337774</v>
      </c>
      <c r="KJ22">
        <f t="shared" ca="1" si="23"/>
        <v>9.8532396303480816</v>
      </c>
      <c r="KK22">
        <f t="shared" ca="1" si="23"/>
        <v>9.8545656803461483</v>
      </c>
      <c r="KL22">
        <f t="shared" ca="1" si="23"/>
        <v>9.8578093832209834</v>
      </c>
      <c r="KM22">
        <f t="shared" ca="1" si="23"/>
        <v>9.8606904148472001</v>
      </c>
      <c r="KN22">
        <f t="shared" ca="1" si="23"/>
        <v>9.8629022553377297</v>
      </c>
      <c r="KO22">
        <f t="shared" ca="1" si="23"/>
        <v>9.858203929508031</v>
      </c>
      <c r="KP22">
        <f t="shared" ca="1" si="23"/>
        <v>9.8609938856034951</v>
      </c>
      <c r="KQ22">
        <f t="shared" ca="1" si="23"/>
        <v>9.8539595812476541</v>
      </c>
      <c r="KR22">
        <f t="shared" ca="1" si="23"/>
        <v>9.8606553199276306</v>
      </c>
      <c r="KS22">
        <f t="shared" ca="1" si="23"/>
        <v>9.8577377070501111</v>
      </c>
      <c r="KT22">
        <f t="shared" ca="1" si="23"/>
        <v>9.8601036471778372</v>
      </c>
      <c r="KU22">
        <f t="shared" ca="1" si="23"/>
        <v>9.8526868490097517</v>
      </c>
      <c r="KV22">
        <f t="shared" ca="1" si="23"/>
        <v>9.8586163021719511</v>
      </c>
      <c r="KW22">
        <f t="shared" ca="1" si="23"/>
        <v>9.8561922798535253</v>
      </c>
      <c r="KX22">
        <f t="shared" ca="1" si="23"/>
        <v>9.8554960277993153</v>
      </c>
      <c r="KY22">
        <f t="shared" ca="1" si="23"/>
        <v>9.8603151142499161</v>
      </c>
      <c r="KZ22">
        <f t="shared" ca="1" si="23"/>
        <v>9.8604417659060015</v>
      </c>
      <c r="LA22">
        <f t="shared" ca="1" si="23"/>
        <v>9.8572870048647871</v>
      </c>
      <c r="LB22">
        <f t="shared" ca="1" si="23"/>
        <v>9.8591678645833998</v>
      </c>
      <c r="LC22">
        <f t="shared" ca="1" si="23"/>
        <v>9.8584640031110169</v>
      </c>
      <c r="LD22">
        <f t="shared" ca="1" si="23"/>
        <v>9.8537441057022797</v>
      </c>
      <c r="LE22">
        <f t="shared" ca="1" si="23"/>
        <v>9.856793999636503</v>
      </c>
      <c r="LF22">
        <f t="shared" ca="1" si="23"/>
        <v>9.8622534474399934</v>
      </c>
      <c r="LG22">
        <f t="shared" ca="1" si="23"/>
        <v>9.8609401801818013</v>
      </c>
      <c r="LH22">
        <f t="shared" ca="1" si="23"/>
        <v>9.8582935526211788</v>
      </c>
      <c r="LI22">
        <f t="shared" ca="1" si="23"/>
        <v>9.8579549645574875</v>
      </c>
      <c r="LJ22">
        <f t="shared" ca="1" si="23"/>
        <v>9.8615031373243429</v>
      </c>
      <c r="LK22">
        <f t="shared" ca="1" si="23"/>
        <v>9.8596777333294376</v>
      </c>
      <c r="LL22">
        <f t="shared" ca="1" si="23"/>
        <v>9.8580967667536576</v>
      </c>
      <c r="LM22">
        <f t="shared" ca="1" si="18"/>
        <v>9.8583399893960788</v>
      </c>
      <c r="LN22">
        <f t="shared" ca="1" si="18"/>
        <v>9.8552183602769343</v>
      </c>
      <c r="LO22">
        <f t="shared" ca="1" si="18"/>
        <v>9.8553098673180912</v>
      </c>
      <c r="LP22">
        <f t="shared" ca="1" si="18"/>
        <v>9.8591617803308562</v>
      </c>
      <c r="LQ22">
        <f t="shared" ca="1" si="18"/>
        <v>9.8521642743441458</v>
      </c>
      <c r="LR22">
        <f t="shared" ca="1" si="18"/>
        <v>9.8555226530212483</v>
      </c>
      <c r="LS22">
        <f t="shared" ca="1" si="18"/>
        <v>9.8572179616387672</v>
      </c>
      <c r="LT22">
        <f t="shared" ca="1" si="18"/>
        <v>9.8596901692342485</v>
      </c>
      <c r="LU22">
        <f t="shared" ca="1" si="18"/>
        <v>9.8599373626087541</v>
      </c>
      <c r="LV22">
        <f t="shared" ca="1" si="18"/>
        <v>9.8596789283204256</v>
      </c>
      <c r="LW22">
        <f t="shared" ca="1" si="18"/>
        <v>9.8586817095011767</v>
      </c>
      <c r="LX22">
        <f t="shared" ca="1" si="18"/>
        <v>9.8539356545341654</v>
      </c>
      <c r="LY22">
        <f t="shared" ca="1" si="18"/>
        <v>9.8573591723482519</v>
      </c>
      <c r="LZ22">
        <f t="shared" ca="1" si="18"/>
        <v>9.8618225931278225</v>
      </c>
      <c r="MA22">
        <f t="shared" ca="1" si="18"/>
        <v>9.8613919452471777</v>
      </c>
      <c r="MB22">
        <f t="shared" ca="1" si="18"/>
        <v>9.8593836804260082</v>
      </c>
      <c r="MC22">
        <f t="shared" ca="1" si="18"/>
        <v>9.8532436115171365</v>
      </c>
      <c r="MD22">
        <f t="shared" ca="1" si="18"/>
        <v>9.8601609577988061</v>
      </c>
      <c r="ME22">
        <f t="shared" ca="1" si="18"/>
        <v>9.8632364413821776</v>
      </c>
      <c r="MF22">
        <f t="shared" ca="1" si="18"/>
        <v>9.8545166284839727</v>
      </c>
      <c r="MG22">
        <f t="shared" ca="1" si="18"/>
        <v>9.8615478349613053</v>
      </c>
      <c r="MH22">
        <f t="shared" ca="1" si="18"/>
        <v>9.8571713074228526</v>
      </c>
      <c r="MI22">
        <f t="shared" ca="1" si="18"/>
        <v>9.8562611292702353</v>
      </c>
      <c r="MJ22">
        <f t="shared" ca="1" si="18"/>
        <v>9.8571142396192268</v>
      </c>
      <c r="MK22">
        <f t="shared" ca="1" si="18"/>
        <v>9.8614640145088508</v>
      </c>
      <c r="ML22">
        <f t="shared" ca="1" si="18"/>
        <v>9.8583069890828625</v>
      </c>
      <c r="MM22">
        <f t="shared" ca="1" si="18"/>
        <v>9.8602232085785921</v>
      </c>
      <c r="MN22">
        <f t="shared" ca="1" si="18"/>
        <v>9.8562447799558264</v>
      </c>
      <c r="MO22">
        <f t="shared" ca="1" si="18"/>
        <v>9.8586262444827302</v>
      </c>
      <c r="MP22">
        <f t="shared" ca="1" si="18"/>
        <v>9.8632819877250277</v>
      </c>
      <c r="MQ22">
        <f t="shared" ca="1" si="18"/>
        <v>9.8631286581360413</v>
      </c>
      <c r="MR22">
        <f t="shared" ca="1" si="18"/>
        <v>9.8627481958378507</v>
      </c>
      <c r="MS22">
        <f t="shared" ca="1" si="18"/>
        <v>9.8556088566287627</v>
      </c>
      <c r="MT22">
        <f t="shared" ca="1" si="18"/>
        <v>9.8559855079488408</v>
      </c>
      <c r="MU22">
        <f t="shared" ca="1" si="18"/>
        <v>9.8605715848929911</v>
      </c>
      <c r="MV22">
        <f t="shared" ca="1" si="18"/>
        <v>9.859929471951089</v>
      </c>
      <c r="MW22">
        <f t="shared" ca="1" si="18"/>
        <v>9.8562978089172777</v>
      </c>
      <c r="MX22">
        <f t="shared" ca="1" si="18"/>
        <v>9.8637625796672364</v>
      </c>
      <c r="MY22">
        <f t="shared" ca="1" si="18"/>
        <v>9.8546416765890346</v>
      </c>
      <c r="MZ22">
        <f t="shared" ca="1" si="18"/>
        <v>9.8574741384982509</v>
      </c>
      <c r="NA22">
        <f t="shared" ca="1" si="18"/>
        <v>9.8604903240315522</v>
      </c>
      <c r="NB22">
        <f t="shared" ca="1" si="18"/>
        <v>9.860604909038269</v>
      </c>
      <c r="NC22">
        <f t="shared" ca="1" si="18"/>
        <v>9.8606951163617911</v>
      </c>
      <c r="ND22">
        <f t="shared" ca="1" si="18"/>
        <v>9.8584016493215429</v>
      </c>
      <c r="NE22">
        <f t="shared" ca="1" si="18"/>
        <v>9.8570317875118683</v>
      </c>
      <c r="NF22">
        <f t="shared" ca="1" si="18"/>
        <v>9.8565222552017495</v>
      </c>
      <c r="NG22">
        <f t="shared" ca="1" si="18"/>
        <v>9.8588356415522309</v>
      </c>
      <c r="NH22">
        <f t="shared" ca="1" si="18"/>
        <v>9.8529595255287834</v>
      </c>
      <c r="NI22">
        <f t="shared" ca="1" si="18"/>
        <v>9.8610470450080605</v>
      </c>
      <c r="NJ22">
        <f t="shared" ca="1" si="18"/>
        <v>9.8591080938465634</v>
      </c>
      <c r="NK22">
        <f t="shared" ca="1" si="18"/>
        <v>9.8571478801674211</v>
      </c>
      <c r="NL22">
        <f t="shared" ca="1" si="18"/>
        <v>9.8588299614522974</v>
      </c>
      <c r="NM22">
        <f t="shared" ca="1" si="18"/>
        <v>9.8541753383792532</v>
      </c>
      <c r="NN22">
        <f t="shared" ca="1" si="18"/>
        <v>9.861542680492402</v>
      </c>
      <c r="NO22">
        <f t="shared" ca="1" si="18"/>
        <v>9.8604113309887751</v>
      </c>
      <c r="NP22">
        <f t="shared" ca="1" si="18"/>
        <v>9.8620693566519009</v>
      </c>
      <c r="NQ22">
        <f t="shared" ca="1" si="18"/>
        <v>9.8510279291309555</v>
      </c>
      <c r="NR22">
        <f t="shared" ca="1" si="18"/>
        <v>9.8570162067099538</v>
      </c>
      <c r="NS22">
        <f t="shared" ca="1" si="18"/>
        <v>9.8583346361399347</v>
      </c>
      <c r="NT22">
        <f t="shared" ca="1" si="18"/>
        <v>9.8549301183460418</v>
      </c>
      <c r="NU22">
        <f t="shared" ca="1" si="18"/>
        <v>9.853780058035996</v>
      </c>
      <c r="NV22">
        <f t="shared" ca="1" si="18"/>
        <v>9.8566640944708421</v>
      </c>
      <c r="NW22">
        <f t="shared" ca="1" si="15"/>
        <v>9.8573845101438007</v>
      </c>
      <c r="NX22">
        <f t="shared" ca="1" si="15"/>
        <v>9.8573817090253026</v>
      </c>
      <c r="NY22">
        <f t="shared" ref="NY22:QJ23" ca="1" si="24">$B9*EXP(($I9-$J10-($H9^2)/2)*(1/52)+$H9*SQRT(1/52)*_xlfn.NORM.INV(RAND(),0,1))</f>
        <v>9.8602057702243808</v>
      </c>
      <c r="NZ22">
        <f t="shared" ca="1" si="24"/>
        <v>9.8563948275402193</v>
      </c>
      <c r="OA22">
        <f t="shared" ca="1" si="24"/>
        <v>9.8529657688418233</v>
      </c>
      <c r="OB22">
        <f t="shared" ca="1" si="24"/>
        <v>9.8590727255554746</v>
      </c>
      <c r="OC22">
        <f t="shared" ca="1" si="24"/>
        <v>9.8606383554460866</v>
      </c>
      <c r="OD22">
        <f t="shared" ca="1" si="24"/>
        <v>9.8578388089403983</v>
      </c>
      <c r="OE22">
        <f t="shared" ca="1" si="24"/>
        <v>9.8604525685393458</v>
      </c>
      <c r="OF22">
        <f t="shared" ca="1" si="24"/>
        <v>9.8551255749831022</v>
      </c>
      <c r="OG22">
        <f t="shared" ca="1" si="24"/>
        <v>9.8524518280364966</v>
      </c>
      <c r="OH22">
        <f t="shared" ca="1" si="24"/>
        <v>9.8584361677986134</v>
      </c>
      <c r="OI22">
        <f t="shared" ca="1" si="24"/>
        <v>9.8550617399655778</v>
      </c>
      <c r="OJ22">
        <f t="shared" ca="1" si="24"/>
        <v>9.8549074924771496</v>
      </c>
      <c r="OK22">
        <f t="shared" ca="1" si="24"/>
        <v>9.8582887505429806</v>
      </c>
      <c r="OL22">
        <f t="shared" ca="1" si="24"/>
        <v>9.8593152874815413</v>
      </c>
      <c r="OM22">
        <f t="shared" ca="1" si="24"/>
        <v>9.8600439512797458</v>
      </c>
      <c r="ON22">
        <f t="shared" ca="1" si="24"/>
        <v>9.8576262718155245</v>
      </c>
      <c r="OO22">
        <f t="shared" ca="1" si="24"/>
        <v>9.8600851208380895</v>
      </c>
      <c r="OP22">
        <f t="shared" ca="1" si="24"/>
        <v>9.8584154373805664</v>
      </c>
      <c r="OQ22">
        <f t="shared" ca="1" si="24"/>
        <v>9.8589659544139199</v>
      </c>
      <c r="OR22">
        <f t="shared" ca="1" si="24"/>
        <v>9.8588395837940652</v>
      </c>
      <c r="OS22">
        <f t="shared" ca="1" si="24"/>
        <v>9.8530706740404757</v>
      </c>
      <c r="OT22">
        <f t="shared" ca="1" si="24"/>
        <v>9.8631581955859868</v>
      </c>
      <c r="OU22">
        <f t="shared" ca="1" si="24"/>
        <v>9.8593720119365962</v>
      </c>
      <c r="OV22">
        <f t="shared" ca="1" si="24"/>
        <v>9.8561714107287237</v>
      </c>
      <c r="OW22">
        <f t="shared" ca="1" si="24"/>
        <v>9.8579736295059135</v>
      </c>
      <c r="OX22">
        <f t="shared" ca="1" si="24"/>
        <v>9.8549163666248063</v>
      </c>
      <c r="OY22">
        <f t="shared" ca="1" si="24"/>
        <v>9.8552446299559389</v>
      </c>
      <c r="OZ22">
        <f t="shared" ca="1" si="24"/>
        <v>9.8547000094035546</v>
      </c>
      <c r="PA22">
        <f t="shared" ca="1" si="24"/>
        <v>9.8550983140961872</v>
      </c>
      <c r="PB22">
        <f t="shared" ca="1" si="24"/>
        <v>9.8552051843214574</v>
      </c>
      <c r="PC22">
        <f t="shared" ca="1" si="24"/>
        <v>9.8601649279772037</v>
      </c>
      <c r="PD22">
        <f t="shared" ca="1" si="24"/>
        <v>9.8570959549932748</v>
      </c>
      <c r="PE22">
        <f t="shared" ca="1" si="24"/>
        <v>9.855912780519418</v>
      </c>
      <c r="PF22">
        <f t="shared" ca="1" si="24"/>
        <v>9.8594096910640019</v>
      </c>
      <c r="PG22">
        <f t="shared" ca="1" si="24"/>
        <v>9.8596139360380928</v>
      </c>
      <c r="PH22">
        <f t="shared" ca="1" si="24"/>
        <v>9.8577863918704605</v>
      </c>
      <c r="PI22">
        <f t="shared" ca="1" si="24"/>
        <v>9.8509422533823674</v>
      </c>
      <c r="PJ22">
        <f t="shared" ca="1" si="24"/>
        <v>9.8558995112059034</v>
      </c>
      <c r="PK22">
        <f t="shared" ca="1" si="24"/>
        <v>9.864291686471768</v>
      </c>
      <c r="PL22">
        <f t="shared" ca="1" si="24"/>
        <v>9.8604749347914051</v>
      </c>
      <c r="PM22">
        <f t="shared" ca="1" si="24"/>
        <v>9.8622389787245748</v>
      </c>
      <c r="PN22">
        <f t="shared" ca="1" si="24"/>
        <v>9.8579129794198934</v>
      </c>
      <c r="PO22">
        <f t="shared" ca="1" si="24"/>
        <v>9.8569823098096094</v>
      </c>
      <c r="PP22">
        <f t="shared" ca="1" si="24"/>
        <v>9.8583268788538252</v>
      </c>
      <c r="PQ22">
        <f t="shared" ca="1" si="24"/>
        <v>9.8607929238851248</v>
      </c>
      <c r="PR22">
        <f t="shared" ca="1" si="24"/>
        <v>9.8584518815548474</v>
      </c>
      <c r="PS22">
        <f t="shared" ca="1" si="24"/>
        <v>9.8564404063541833</v>
      </c>
      <c r="PT22">
        <f t="shared" ca="1" si="24"/>
        <v>9.8588697191805377</v>
      </c>
      <c r="PU22">
        <f t="shared" ca="1" si="24"/>
        <v>9.8549198091717667</v>
      </c>
      <c r="PV22">
        <f t="shared" ca="1" si="24"/>
        <v>9.8596901458745148</v>
      </c>
      <c r="PW22">
        <f t="shared" ca="1" si="24"/>
        <v>9.852731952138857</v>
      </c>
      <c r="PX22">
        <f t="shared" ca="1" si="24"/>
        <v>9.8607280600790244</v>
      </c>
      <c r="PY22">
        <f t="shared" ca="1" si="24"/>
        <v>9.855848241268335</v>
      </c>
      <c r="PZ22">
        <f t="shared" ca="1" si="24"/>
        <v>9.8578097061267442</v>
      </c>
      <c r="QA22">
        <f t="shared" ca="1" si="24"/>
        <v>9.8588849473760671</v>
      </c>
      <c r="QB22">
        <f t="shared" ca="1" si="24"/>
        <v>9.8535330948264122</v>
      </c>
      <c r="QC22">
        <f t="shared" ca="1" si="24"/>
        <v>9.8579990979645888</v>
      </c>
      <c r="QD22">
        <f t="shared" ca="1" si="24"/>
        <v>9.8566919791778513</v>
      </c>
      <c r="QE22">
        <f t="shared" ca="1" si="24"/>
        <v>9.8561886534582612</v>
      </c>
      <c r="QF22">
        <f t="shared" ca="1" si="24"/>
        <v>9.8574473257708863</v>
      </c>
      <c r="QG22">
        <f t="shared" ca="1" si="24"/>
        <v>9.8547946380786318</v>
      </c>
      <c r="QH22">
        <f t="shared" ca="1" si="24"/>
        <v>9.8595090203011395</v>
      </c>
      <c r="QI22">
        <f t="shared" ca="1" si="24"/>
        <v>9.8559534707344341</v>
      </c>
      <c r="QJ22">
        <f t="shared" ca="1" si="24"/>
        <v>9.8572586865345784</v>
      </c>
      <c r="QK22">
        <f t="shared" ca="1" si="20"/>
        <v>9.8586254965955593</v>
      </c>
      <c r="QL22">
        <f t="shared" ca="1" si="20"/>
        <v>9.8632382453906171</v>
      </c>
      <c r="QM22">
        <f t="shared" ca="1" si="20"/>
        <v>9.8612708882611102</v>
      </c>
      <c r="QN22">
        <f t="shared" ca="1" si="20"/>
        <v>9.8597182865899917</v>
      </c>
      <c r="QO22">
        <f t="shared" ca="1" si="20"/>
        <v>9.8544464697657332</v>
      </c>
      <c r="QP22">
        <f t="shared" ca="1" si="20"/>
        <v>9.8574582252085978</v>
      </c>
      <c r="QQ22">
        <f t="shared" ca="1" si="20"/>
        <v>9.8545021229460978</v>
      </c>
      <c r="QR22">
        <f t="shared" ca="1" si="20"/>
        <v>9.8589175885311509</v>
      </c>
      <c r="QS22">
        <f t="shared" ca="1" si="20"/>
        <v>9.8574129748680797</v>
      </c>
      <c r="QT22">
        <f t="shared" ca="1" si="20"/>
        <v>9.8604861085100257</v>
      </c>
      <c r="QU22">
        <f t="shared" ca="1" si="20"/>
        <v>9.8607528468007803</v>
      </c>
      <c r="QV22">
        <f t="shared" ca="1" si="20"/>
        <v>9.8577612380565487</v>
      </c>
      <c r="QW22">
        <f t="shared" ca="1" si="20"/>
        <v>9.8614040660223239</v>
      </c>
      <c r="QX22">
        <f t="shared" ca="1" si="20"/>
        <v>9.861066402835629</v>
      </c>
      <c r="QY22">
        <f t="shared" ca="1" si="20"/>
        <v>9.8581629198595877</v>
      </c>
      <c r="QZ22">
        <f t="shared" ca="1" si="20"/>
        <v>9.858236655339951</v>
      </c>
      <c r="RA22">
        <f t="shared" ca="1" si="20"/>
        <v>9.8602256693335235</v>
      </c>
      <c r="RB22">
        <f t="shared" ca="1" si="20"/>
        <v>9.860807270305088</v>
      </c>
      <c r="RC22">
        <f t="shared" ca="1" si="20"/>
        <v>9.8579848092336793</v>
      </c>
      <c r="RD22">
        <f t="shared" ca="1" si="20"/>
        <v>9.8618084034295634</v>
      </c>
      <c r="RE22">
        <f t="shared" ca="1" si="20"/>
        <v>9.8617486518660193</v>
      </c>
      <c r="RF22">
        <f t="shared" ca="1" si="20"/>
        <v>9.8601543828393972</v>
      </c>
      <c r="RG22">
        <f t="shared" ca="1" si="20"/>
        <v>9.8595088294062645</v>
      </c>
      <c r="RH22">
        <f t="shared" ca="1" si="20"/>
        <v>9.8575985736890157</v>
      </c>
      <c r="RI22">
        <f t="shared" ca="1" si="20"/>
        <v>9.8583530533330137</v>
      </c>
      <c r="RJ22">
        <f t="shared" ca="1" si="20"/>
        <v>9.8601392316300203</v>
      </c>
      <c r="RK22">
        <f t="shared" ca="1" si="20"/>
        <v>9.8604224860731051</v>
      </c>
      <c r="RL22">
        <f t="shared" ca="1" si="20"/>
        <v>9.861239215684904</v>
      </c>
      <c r="RM22">
        <f t="shared" ca="1" si="20"/>
        <v>9.8589569306451939</v>
      </c>
      <c r="RN22">
        <f t="shared" ca="1" si="20"/>
        <v>9.8633415412860401</v>
      </c>
      <c r="RO22">
        <f t="shared" ca="1" si="20"/>
        <v>9.864532988879029</v>
      </c>
      <c r="RP22">
        <f t="shared" ca="1" si="20"/>
        <v>9.8570487941882003</v>
      </c>
      <c r="RQ22">
        <f t="shared" ca="1" si="20"/>
        <v>9.8613704851322641</v>
      </c>
      <c r="RR22">
        <f t="shared" ca="1" si="20"/>
        <v>9.8593492264415001</v>
      </c>
      <c r="RS22">
        <f t="shared" ca="1" si="20"/>
        <v>9.8594632879396382</v>
      </c>
      <c r="RT22">
        <f t="shared" ca="1" si="20"/>
        <v>9.8552326794624463</v>
      </c>
      <c r="RU22">
        <f t="shared" ca="1" si="20"/>
        <v>9.8601247040672373</v>
      </c>
      <c r="RV22">
        <f t="shared" ca="1" si="20"/>
        <v>9.8599038540046866</v>
      </c>
      <c r="RW22">
        <f t="shared" ca="1" si="20"/>
        <v>9.8569864960195339</v>
      </c>
      <c r="RX22">
        <f t="shared" ca="1" si="20"/>
        <v>9.8597063525048085</v>
      </c>
      <c r="RY22">
        <f t="shared" ca="1" si="20"/>
        <v>9.8614932918364708</v>
      </c>
      <c r="RZ22">
        <f t="shared" ca="1" si="20"/>
        <v>9.8534390393841385</v>
      </c>
      <c r="SA22">
        <f t="shared" ca="1" si="20"/>
        <v>9.8594162690432103</v>
      </c>
      <c r="SB22">
        <f t="shared" ca="1" si="20"/>
        <v>9.8581682187355781</v>
      </c>
      <c r="SC22">
        <f t="shared" ca="1" si="20"/>
        <v>9.8588345578715995</v>
      </c>
      <c r="SD22">
        <f t="shared" ca="1" si="20"/>
        <v>9.861698263804703</v>
      </c>
      <c r="SE22">
        <f t="shared" ca="1" si="20"/>
        <v>9.8568322952246508</v>
      </c>
      <c r="SF22">
        <f t="shared" ca="1" si="20"/>
        <v>9.861232337111046</v>
      </c>
      <c r="SG22">
        <f t="shared" ca="1" si="20"/>
        <v>9.8566741078812381</v>
      </c>
    </row>
    <row r="23" spans="1:501" x14ac:dyDescent="0.3">
      <c r="A23" s="1">
        <v>45911</v>
      </c>
      <c r="B23">
        <f t="shared" ca="1" si="11"/>
        <v>9.8949242041225745</v>
      </c>
      <c r="C23">
        <f t="shared" ca="1" si="21"/>
        <v>9.8989198571167645</v>
      </c>
      <c r="D23">
        <f t="shared" ca="1" si="21"/>
        <v>9.8961172326886704</v>
      </c>
      <c r="E23">
        <f t="shared" ca="1" si="21"/>
        <v>9.8981740401050526</v>
      </c>
      <c r="F23">
        <f t="shared" ca="1" si="21"/>
        <v>9.8977353550911538</v>
      </c>
      <c r="G23">
        <f t="shared" ca="1" si="21"/>
        <v>9.896820015448478</v>
      </c>
      <c r="H23">
        <f t="shared" ca="1" si="21"/>
        <v>9.8958044039424102</v>
      </c>
      <c r="I23">
        <f t="shared" ca="1" si="21"/>
        <v>9.901218487365071</v>
      </c>
      <c r="J23">
        <f t="shared" ca="1" si="21"/>
        <v>9.8975401207183911</v>
      </c>
      <c r="K23">
        <f t="shared" ca="1" si="21"/>
        <v>9.8979468245666773</v>
      </c>
      <c r="L23">
        <f t="shared" ca="1" si="21"/>
        <v>9.8993596697067634</v>
      </c>
      <c r="M23">
        <f t="shared" ca="1" si="21"/>
        <v>9.8988938773465218</v>
      </c>
      <c r="N23">
        <f t="shared" ca="1" si="21"/>
        <v>9.8999873993464362</v>
      </c>
      <c r="O23">
        <f t="shared" ca="1" si="21"/>
        <v>9.8964604585136158</v>
      </c>
      <c r="P23">
        <f t="shared" ca="1" si="21"/>
        <v>9.8966716517128308</v>
      </c>
      <c r="Q23">
        <f t="shared" ca="1" si="21"/>
        <v>9.8966591524536334</v>
      </c>
      <c r="R23">
        <f t="shared" ca="1" si="21"/>
        <v>9.9009851694765025</v>
      </c>
      <c r="S23">
        <f t="shared" ca="1" si="21"/>
        <v>9.8952918862913943</v>
      </c>
      <c r="T23">
        <f t="shared" ca="1" si="21"/>
        <v>9.899712327675477</v>
      </c>
      <c r="U23">
        <f t="shared" ca="1" si="21"/>
        <v>9.8991250389023726</v>
      </c>
      <c r="V23">
        <f t="shared" ca="1" si="21"/>
        <v>9.9010689534297285</v>
      </c>
      <c r="W23">
        <f t="shared" ca="1" si="21"/>
        <v>9.9008968963311936</v>
      </c>
      <c r="X23">
        <f t="shared" ca="1" si="21"/>
        <v>9.8969878011938377</v>
      </c>
      <c r="Y23">
        <f t="shared" ca="1" si="21"/>
        <v>9.9021377942261974</v>
      </c>
      <c r="Z23">
        <f t="shared" ca="1" si="21"/>
        <v>9.8980315166114998</v>
      </c>
      <c r="AA23">
        <f t="shared" ca="1" si="21"/>
        <v>9.891847086169463</v>
      </c>
      <c r="AB23">
        <f t="shared" ca="1" si="21"/>
        <v>9.8979393458491263</v>
      </c>
      <c r="AC23">
        <f t="shared" ca="1" si="21"/>
        <v>9.8953429382839673</v>
      </c>
      <c r="AD23">
        <f t="shared" ca="1" si="21"/>
        <v>9.8944089542657423</v>
      </c>
      <c r="AE23">
        <f t="shared" ca="1" si="21"/>
        <v>9.8966637404882807</v>
      </c>
      <c r="AF23">
        <f t="shared" ca="1" si="21"/>
        <v>9.899313497343238</v>
      </c>
      <c r="AG23">
        <f t="shared" ca="1" si="21"/>
        <v>9.9024565708552661</v>
      </c>
      <c r="AH23">
        <f t="shared" ca="1" si="21"/>
        <v>9.9000777744533206</v>
      </c>
      <c r="AI23">
        <f t="shared" ca="1" si="21"/>
        <v>9.9033374191713381</v>
      </c>
      <c r="AJ23">
        <f t="shared" ca="1" si="21"/>
        <v>9.8953218670382252</v>
      </c>
      <c r="AK23">
        <f t="shared" ca="1" si="21"/>
        <v>9.8945687715751802</v>
      </c>
      <c r="AL23">
        <f t="shared" ca="1" si="21"/>
        <v>9.9000883449418389</v>
      </c>
      <c r="AM23">
        <f t="shared" ca="1" si="21"/>
        <v>9.897823552355451</v>
      </c>
      <c r="AN23">
        <f t="shared" ca="1" si="21"/>
        <v>9.900208511155089</v>
      </c>
      <c r="AO23">
        <f t="shared" ca="1" si="21"/>
        <v>9.8967762031459383</v>
      </c>
      <c r="AP23">
        <f t="shared" ca="1" si="21"/>
        <v>9.896161669574175</v>
      </c>
      <c r="AQ23">
        <f t="shared" ca="1" si="21"/>
        <v>9.9012142316104175</v>
      </c>
      <c r="AR23">
        <f t="shared" ca="1" si="21"/>
        <v>9.9018745961632408</v>
      </c>
      <c r="AS23">
        <f t="shared" ca="1" si="21"/>
        <v>9.8987437767850448</v>
      </c>
      <c r="AT23">
        <f t="shared" ca="1" si="21"/>
        <v>9.9004900248112904</v>
      </c>
      <c r="AU23">
        <f t="shared" ca="1" si="21"/>
        <v>9.9016683677301636</v>
      </c>
      <c r="AV23">
        <f t="shared" ca="1" si="21"/>
        <v>9.8994398961187358</v>
      </c>
      <c r="AW23">
        <f t="shared" ca="1" si="21"/>
        <v>9.9043191561492829</v>
      </c>
      <c r="AX23">
        <f t="shared" ca="1" si="21"/>
        <v>9.8991499433102046</v>
      </c>
      <c r="AY23">
        <f t="shared" ca="1" si="21"/>
        <v>9.8991872496949114</v>
      </c>
      <c r="AZ23">
        <f t="shared" ca="1" si="21"/>
        <v>9.8975600874665179</v>
      </c>
      <c r="BA23">
        <f t="shared" ca="1" si="21"/>
        <v>9.897661888546331</v>
      </c>
      <c r="BB23">
        <f t="shared" ca="1" si="21"/>
        <v>9.8990457200773587</v>
      </c>
      <c r="BC23">
        <f t="shared" ca="1" si="21"/>
        <v>9.9022436216551988</v>
      </c>
      <c r="BD23">
        <f t="shared" ca="1" si="21"/>
        <v>9.8990294098064666</v>
      </c>
      <c r="BE23">
        <f t="shared" ca="1" si="21"/>
        <v>9.9015271473929545</v>
      </c>
      <c r="BF23">
        <f t="shared" ca="1" si="21"/>
        <v>9.8991654767507686</v>
      </c>
      <c r="BG23">
        <f t="shared" ca="1" si="21"/>
        <v>9.9013088685280621</v>
      </c>
      <c r="BH23">
        <f t="shared" ca="1" si="21"/>
        <v>9.8962016526625494</v>
      </c>
      <c r="BI23">
        <f t="shared" ca="1" si="21"/>
        <v>9.9025010105655031</v>
      </c>
      <c r="BJ23">
        <f t="shared" ca="1" si="21"/>
        <v>9.8989514584135474</v>
      </c>
      <c r="BK23">
        <f t="shared" ca="1" si="21"/>
        <v>9.9005411715188831</v>
      </c>
      <c r="BL23">
        <f t="shared" ca="1" si="21"/>
        <v>9.8977326425287266</v>
      </c>
      <c r="BM23">
        <f t="shared" ca="1" si="21"/>
        <v>9.9011169738807006</v>
      </c>
      <c r="BN23">
        <f t="shared" ca="1" si="21"/>
        <v>9.8987762966346988</v>
      </c>
      <c r="BO23">
        <f t="shared" ca="1" si="19"/>
        <v>9.897817779823491</v>
      </c>
      <c r="BP23">
        <f t="shared" ca="1" si="19"/>
        <v>9.8998107212995006</v>
      </c>
      <c r="BQ23">
        <f t="shared" ca="1" si="19"/>
        <v>9.8988430077095337</v>
      </c>
      <c r="BR23">
        <f t="shared" ca="1" si="19"/>
        <v>9.8946529346301784</v>
      </c>
      <c r="BS23">
        <f t="shared" ca="1" si="19"/>
        <v>9.900127117193243</v>
      </c>
      <c r="BT23">
        <f t="shared" ca="1" si="19"/>
        <v>9.8952665974690923</v>
      </c>
      <c r="BU23">
        <f t="shared" ca="1" si="19"/>
        <v>9.9020479507239827</v>
      </c>
      <c r="BV23">
        <f t="shared" ca="1" si="19"/>
        <v>9.8994508474198906</v>
      </c>
      <c r="BW23">
        <f t="shared" ca="1" si="19"/>
        <v>9.902136405205221</v>
      </c>
      <c r="BX23">
        <f t="shared" ca="1" si="19"/>
        <v>9.8969596906194948</v>
      </c>
      <c r="BY23">
        <f t="shared" ca="1" si="19"/>
        <v>9.9015762308076418</v>
      </c>
      <c r="BZ23">
        <f t="shared" ca="1" si="19"/>
        <v>9.8993257025598709</v>
      </c>
      <c r="CA23">
        <f t="shared" ca="1" si="19"/>
        <v>9.8967052044492458</v>
      </c>
      <c r="CB23">
        <f t="shared" ca="1" si="19"/>
        <v>9.8949219997327589</v>
      </c>
      <c r="CC23">
        <f t="shared" ca="1" si="19"/>
        <v>9.9008643697031733</v>
      </c>
      <c r="CD23">
        <f t="shared" ca="1" si="19"/>
        <v>9.8977559262424215</v>
      </c>
      <c r="CE23">
        <f t="shared" ca="1" si="19"/>
        <v>9.8979393613612849</v>
      </c>
      <c r="CF23">
        <f t="shared" ca="1" si="19"/>
        <v>9.8962432518339458</v>
      </c>
      <c r="CG23">
        <f t="shared" ca="1" si="19"/>
        <v>9.8995397364926081</v>
      </c>
      <c r="CH23">
        <f t="shared" ca="1" si="19"/>
        <v>9.8983457899256724</v>
      </c>
      <c r="CI23">
        <f t="shared" ca="1" si="19"/>
        <v>9.8981825735020994</v>
      </c>
      <c r="CJ23">
        <f t="shared" ca="1" si="19"/>
        <v>9.8988121903534818</v>
      </c>
      <c r="CK23">
        <f t="shared" ca="1" si="19"/>
        <v>9.9005381561809038</v>
      </c>
      <c r="CL23">
        <f t="shared" ca="1" si="19"/>
        <v>9.901632704660587</v>
      </c>
      <c r="CM23">
        <f t="shared" ca="1" si="19"/>
        <v>9.8954205121523504</v>
      </c>
      <c r="CN23">
        <f t="shared" ca="1" si="19"/>
        <v>9.9006556937086305</v>
      </c>
      <c r="CO23">
        <f t="shared" ca="1" si="19"/>
        <v>9.8977924226473792</v>
      </c>
      <c r="CP23">
        <f t="shared" ca="1" si="19"/>
        <v>9.8989288098335138</v>
      </c>
      <c r="CQ23">
        <f t="shared" ca="1" si="19"/>
        <v>9.8978228875331951</v>
      </c>
      <c r="CR23">
        <f t="shared" ca="1" si="19"/>
        <v>9.8981434930886341</v>
      </c>
      <c r="CS23">
        <f t="shared" ca="1" si="19"/>
        <v>9.897979784387795</v>
      </c>
      <c r="CT23">
        <f t="shared" ca="1" si="19"/>
        <v>9.8958916595098287</v>
      </c>
      <c r="CU23">
        <f t="shared" ca="1" si="19"/>
        <v>9.8966766781525539</v>
      </c>
      <c r="CV23">
        <f t="shared" ca="1" si="19"/>
        <v>9.9045260711160559</v>
      </c>
      <c r="CW23">
        <f t="shared" ca="1" si="19"/>
        <v>9.8987054083120753</v>
      </c>
      <c r="CX23">
        <f t="shared" ca="1" si="19"/>
        <v>9.8960822668489907</v>
      </c>
      <c r="CY23">
        <f t="shared" ca="1" si="19"/>
        <v>9.903362811391899</v>
      </c>
      <c r="CZ23">
        <f t="shared" ca="1" si="19"/>
        <v>9.8983705342443074</v>
      </c>
      <c r="DA23">
        <f t="shared" ca="1" si="19"/>
        <v>9.8997834005269514</v>
      </c>
      <c r="DB23">
        <f t="shared" ca="1" si="19"/>
        <v>9.9000271568914275</v>
      </c>
      <c r="DC23">
        <f t="shared" ca="1" si="19"/>
        <v>9.899656587279182</v>
      </c>
      <c r="DD23">
        <f t="shared" ca="1" si="19"/>
        <v>9.8996472233642869</v>
      </c>
      <c r="DE23">
        <f t="shared" ca="1" si="19"/>
        <v>9.9012688935220208</v>
      </c>
      <c r="DF23">
        <f t="shared" ca="1" si="19"/>
        <v>9.8985734535126024</v>
      </c>
      <c r="DG23">
        <f t="shared" ca="1" si="19"/>
        <v>9.8942801226315336</v>
      </c>
      <c r="DH23">
        <f t="shared" ca="1" si="19"/>
        <v>9.9009836333112808</v>
      </c>
      <c r="DI23">
        <f t="shared" ca="1" si="19"/>
        <v>9.8998021110363297</v>
      </c>
      <c r="DJ23">
        <f t="shared" ca="1" si="19"/>
        <v>9.9005181012251082</v>
      </c>
      <c r="DK23">
        <f t="shared" ca="1" si="19"/>
        <v>9.8966940734877635</v>
      </c>
      <c r="DL23">
        <f t="shared" ca="1" si="19"/>
        <v>9.8976492670612011</v>
      </c>
      <c r="DM23">
        <f t="shared" ca="1" si="19"/>
        <v>9.8977187487045075</v>
      </c>
      <c r="DN23">
        <f t="shared" ca="1" si="19"/>
        <v>9.9023927751854437</v>
      </c>
      <c r="DO23">
        <f t="shared" ca="1" si="19"/>
        <v>9.8958520258459064</v>
      </c>
      <c r="DP23">
        <f t="shared" ca="1" si="19"/>
        <v>9.8980951751385842</v>
      </c>
      <c r="DQ23">
        <f t="shared" ca="1" si="19"/>
        <v>9.8944981642346637</v>
      </c>
      <c r="DR23">
        <f t="shared" ca="1" si="19"/>
        <v>9.8957227438245994</v>
      </c>
      <c r="DS23">
        <f t="shared" ca="1" si="19"/>
        <v>9.9002674866266656</v>
      </c>
      <c r="DT23">
        <f t="shared" ca="1" si="19"/>
        <v>9.9007963396813814</v>
      </c>
      <c r="DU23">
        <f t="shared" ca="1" si="19"/>
        <v>9.8963019527358149</v>
      </c>
      <c r="DV23">
        <f t="shared" ca="1" si="19"/>
        <v>9.9002367043630635</v>
      </c>
      <c r="DW23">
        <f t="shared" ca="1" si="19"/>
        <v>9.9013058028407919</v>
      </c>
      <c r="DX23">
        <f t="shared" ca="1" si="19"/>
        <v>9.9019628438447231</v>
      </c>
      <c r="DY23">
        <f t="shared" ca="1" si="19"/>
        <v>9.8987765768540559</v>
      </c>
      <c r="DZ23">
        <f t="shared" ca="1" si="16"/>
        <v>9.9013350304983074</v>
      </c>
      <c r="EA23">
        <f t="shared" ref="EA23:GL23" ca="1" si="25">$B10*EXP(($I10-$J11-($H10^2)/2)*(1/52)+$H10*SQRT(1/52)*_xlfn.NORM.INV(RAND(),0,1))</f>
        <v>9.8992906643793805</v>
      </c>
      <c r="EB23">
        <f t="shared" ca="1" si="25"/>
        <v>9.895628269289217</v>
      </c>
      <c r="EC23">
        <f t="shared" ca="1" si="25"/>
        <v>9.8983553949989123</v>
      </c>
      <c r="ED23">
        <f t="shared" ca="1" si="25"/>
        <v>9.8919261984078322</v>
      </c>
      <c r="EE23">
        <f t="shared" ca="1" si="25"/>
        <v>9.894395150047627</v>
      </c>
      <c r="EF23">
        <f t="shared" ca="1" si="25"/>
        <v>9.8958684998822335</v>
      </c>
      <c r="EG23">
        <f t="shared" ca="1" si="25"/>
        <v>9.8994853395894911</v>
      </c>
      <c r="EH23">
        <f t="shared" ca="1" si="25"/>
        <v>9.896541001833425</v>
      </c>
      <c r="EI23">
        <f t="shared" ca="1" si="25"/>
        <v>9.8973393086421666</v>
      </c>
      <c r="EJ23">
        <f t="shared" ca="1" si="25"/>
        <v>9.8966566235492568</v>
      </c>
      <c r="EK23">
        <f t="shared" ca="1" si="25"/>
        <v>9.8955403255968015</v>
      </c>
      <c r="EL23">
        <f t="shared" ca="1" si="25"/>
        <v>9.9036620745664088</v>
      </c>
      <c r="EM23">
        <f t="shared" ca="1" si="25"/>
        <v>9.8959638661408853</v>
      </c>
      <c r="EN23">
        <f t="shared" ca="1" si="25"/>
        <v>9.8972870734260319</v>
      </c>
      <c r="EO23">
        <f t="shared" ca="1" si="25"/>
        <v>9.904083734850019</v>
      </c>
      <c r="EP23">
        <f t="shared" ca="1" si="25"/>
        <v>9.8969049310167083</v>
      </c>
      <c r="EQ23">
        <f t="shared" ca="1" si="25"/>
        <v>9.9015187267467955</v>
      </c>
      <c r="ER23">
        <f t="shared" ca="1" si="25"/>
        <v>9.8971615118031124</v>
      </c>
      <c r="ES23">
        <f t="shared" ca="1" si="25"/>
        <v>9.8982777219938427</v>
      </c>
      <c r="ET23">
        <f t="shared" ca="1" si="25"/>
        <v>9.8980473055716658</v>
      </c>
      <c r="EU23">
        <f t="shared" ca="1" si="25"/>
        <v>9.8981086802273399</v>
      </c>
      <c r="EV23">
        <f t="shared" ca="1" si="25"/>
        <v>9.8981272106761615</v>
      </c>
      <c r="EW23">
        <f t="shared" ca="1" si="25"/>
        <v>9.90209202769298</v>
      </c>
      <c r="EX23">
        <f t="shared" ca="1" si="25"/>
        <v>9.8963885097049786</v>
      </c>
      <c r="EY23">
        <f t="shared" ca="1" si="25"/>
        <v>9.8973288699526272</v>
      </c>
      <c r="EZ23">
        <f t="shared" ca="1" si="25"/>
        <v>9.9001993709278562</v>
      </c>
      <c r="FA23">
        <f t="shared" ca="1" si="25"/>
        <v>9.8979555089200542</v>
      </c>
      <c r="FB23">
        <f t="shared" ca="1" si="25"/>
        <v>9.8997187167964942</v>
      </c>
      <c r="FC23">
        <f t="shared" ca="1" si="25"/>
        <v>9.9025925585484007</v>
      </c>
      <c r="FD23">
        <f t="shared" ca="1" si="25"/>
        <v>9.8968238071012067</v>
      </c>
      <c r="FE23">
        <f t="shared" ca="1" si="25"/>
        <v>9.9000217478671306</v>
      </c>
      <c r="FF23">
        <f t="shared" ca="1" si="25"/>
        <v>9.895363597206444</v>
      </c>
      <c r="FG23">
        <f t="shared" ca="1" si="25"/>
        <v>9.8986673836427226</v>
      </c>
      <c r="FH23">
        <f t="shared" ca="1" si="25"/>
        <v>9.8970056138975036</v>
      </c>
      <c r="FI23">
        <f t="shared" ca="1" si="25"/>
        <v>9.8968204195598641</v>
      </c>
      <c r="FJ23">
        <f t="shared" ca="1" si="25"/>
        <v>9.897988572597944</v>
      </c>
      <c r="FK23">
        <f t="shared" ca="1" si="25"/>
        <v>9.8981512133053435</v>
      </c>
      <c r="FL23">
        <f t="shared" ca="1" si="25"/>
        <v>9.8950431842795279</v>
      </c>
      <c r="FM23">
        <f t="shared" ca="1" si="25"/>
        <v>9.8990574719053672</v>
      </c>
      <c r="FN23">
        <f t="shared" ca="1" si="25"/>
        <v>9.8991468457330871</v>
      </c>
      <c r="FO23">
        <f t="shared" ca="1" si="25"/>
        <v>9.8989690668475365</v>
      </c>
      <c r="FP23">
        <f t="shared" ca="1" si="25"/>
        <v>9.8985054801725862</v>
      </c>
      <c r="FQ23">
        <f t="shared" ca="1" si="25"/>
        <v>9.8973660653512407</v>
      </c>
      <c r="FR23">
        <f t="shared" ca="1" si="25"/>
        <v>9.8924727250382904</v>
      </c>
      <c r="FS23">
        <f t="shared" ca="1" si="25"/>
        <v>9.8988057746289631</v>
      </c>
      <c r="FT23">
        <f t="shared" ca="1" si="25"/>
        <v>9.8968597321692169</v>
      </c>
      <c r="FU23">
        <f t="shared" ca="1" si="25"/>
        <v>9.8958833022638455</v>
      </c>
      <c r="FV23">
        <f t="shared" ca="1" si="25"/>
        <v>9.9015578518861265</v>
      </c>
      <c r="FW23">
        <f t="shared" ca="1" si="25"/>
        <v>9.8965673554640929</v>
      </c>
      <c r="FX23">
        <f t="shared" ca="1" si="25"/>
        <v>9.8948529228716158</v>
      </c>
      <c r="FY23">
        <f t="shared" ca="1" si="25"/>
        <v>9.8968356141626472</v>
      </c>
      <c r="FZ23">
        <f t="shared" ca="1" si="25"/>
        <v>9.8987401346899642</v>
      </c>
      <c r="GA23">
        <f t="shared" ca="1" si="25"/>
        <v>9.9000230287928339</v>
      </c>
      <c r="GB23">
        <f t="shared" ca="1" si="25"/>
        <v>9.8996524552923315</v>
      </c>
      <c r="GC23">
        <f t="shared" ca="1" si="25"/>
        <v>9.8942432293061522</v>
      </c>
      <c r="GD23">
        <f t="shared" ca="1" si="25"/>
        <v>9.8971235837352456</v>
      </c>
      <c r="GE23">
        <f t="shared" ca="1" si="25"/>
        <v>9.8966839695945836</v>
      </c>
      <c r="GF23">
        <f t="shared" ca="1" si="25"/>
        <v>9.8976369141446874</v>
      </c>
      <c r="GG23">
        <f t="shared" ca="1" si="25"/>
        <v>9.9003466103231776</v>
      </c>
      <c r="GH23">
        <f t="shared" ca="1" si="25"/>
        <v>9.895801646108831</v>
      </c>
      <c r="GI23">
        <f t="shared" ca="1" si="25"/>
        <v>9.8992902062781898</v>
      </c>
      <c r="GJ23">
        <f t="shared" ca="1" si="25"/>
        <v>9.9023685426605947</v>
      </c>
      <c r="GK23">
        <f t="shared" ca="1" si="25"/>
        <v>9.8995990510843104</v>
      </c>
      <c r="GL23">
        <f t="shared" ca="1" si="25"/>
        <v>9.8974938621574431</v>
      </c>
      <c r="GM23">
        <f t="shared" ca="1" si="22"/>
        <v>9.8951268817888387</v>
      </c>
      <c r="GN23">
        <f t="shared" ca="1" si="22"/>
        <v>9.8965029429965661</v>
      </c>
      <c r="GO23">
        <f t="shared" ca="1" si="17"/>
        <v>9.9009381796790219</v>
      </c>
      <c r="GP23">
        <f t="shared" ref="GP23:JA23" ca="1" si="26">$B10*EXP(($I10-$J11-($H10^2)/2)*(1/52)+$H10*SQRT(1/52)*_xlfn.NORM.INV(RAND(),0,1))</f>
        <v>9.9019662861783662</v>
      </c>
      <c r="GQ23">
        <f t="shared" ca="1" si="26"/>
        <v>9.8967362264145322</v>
      </c>
      <c r="GR23">
        <f t="shared" ca="1" si="26"/>
        <v>9.9024563731477961</v>
      </c>
      <c r="GS23">
        <f t="shared" ca="1" si="26"/>
        <v>9.8974139521347766</v>
      </c>
      <c r="GT23">
        <f t="shared" ca="1" si="26"/>
        <v>9.9006650658720599</v>
      </c>
      <c r="GU23">
        <f t="shared" ca="1" si="26"/>
        <v>9.8986148503240585</v>
      </c>
      <c r="GV23">
        <f t="shared" ca="1" si="26"/>
        <v>9.9003898089070734</v>
      </c>
      <c r="GW23">
        <f t="shared" ca="1" si="26"/>
        <v>9.894693385227658</v>
      </c>
      <c r="GX23">
        <f t="shared" ca="1" si="26"/>
        <v>9.8991469749779508</v>
      </c>
      <c r="GY23">
        <f t="shared" ca="1" si="26"/>
        <v>9.8980156424555386</v>
      </c>
      <c r="GZ23">
        <f t="shared" ca="1" si="26"/>
        <v>9.8990165853522676</v>
      </c>
      <c r="HA23">
        <f t="shared" ca="1" si="26"/>
        <v>9.8940043812288678</v>
      </c>
      <c r="HB23">
        <f t="shared" ca="1" si="26"/>
        <v>9.8990930337873237</v>
      </c>
      <c r="HC23">
        <f t="shared" ca="1" si="26"/>
        <v>9.89696793578746</v>
      </c>
      <c r="HD23">
        <f t="shared" ca="1" si="26"/>
        <v>9.9003938724126783</v>
      </c>
      <c r="HE23">
        <f t="shared" ca="1" si="26"/>
        <v>9.8968894090332142</v>
      </c>
      <c r="HF23">
        <f t="shared" ca="1" si="26"/>
        <v>9.8983339340484964</v>
      </c>
      <c r="HG23">
        <f t="shared" ca="1" si="26"/>
        <v>9.8983103637766625</v>
      </c>
      <c r="HH23">
        <f t="shared" ca="1" si="26"/>
        <v>9.8910239820489423</v>
      </c>
      <c r="HI23">
        <f t="shared" ca="1" si="26"/>
        <v>9.8985080579010063</v>
      </c>
      <c r="HJ23">
        <f t="shared" ca="1" si="26"/>
        <v>9.8987735804967905</v>
      </c>
      <c r="HK23">
        <f t="shared" ca="1" si="26"/>
        <v>9.8994021710567139</v>
      </c>
      <c r="HL23">
        <f t="shared" ca="1" si="26"/>
        <v>9.9024647895593727</v>
      </c>
      <c r="HM23">
        <f t="shared" ca="1" si="26"/>
        <v>9.8947665475540845</v>
      </c>
      <c r="HN23">
        <f t="shared" ca="1" si="26"/>
        <v>9.8948161993782016</v>
      </c>
      <c r="HO23">
        <f t="shared" ca="1" si="26"/>
        <v>9.8994160048039177</v>
      </c>
      <c r="HP23">
        <f t="shared" ca="1" si="26"/>
        <v>9.902511499073098</v>
      </c>
      <c r="HQ23">
        <f t="shared" ca="1" si="26"/>
        <v>9.8981939278599924</v>
      </c>
      <c r="HR23">
        <f t="shared" ca="1" si="26"/>
        <v>9.8960065588954134</v>
      </c>
      <c r="HS23">
        <f t="shared" ca="1" si="26"/>
        <v>9.8932735622048185</v>
      </c>
      <c r="HT23">
        <f t="shared" ca="1" si="26"/>
        <v>9.8953897469898866</v>
      </c>
      <c r="HU23">
        <f t="shared" ca="1" si="26"/>
        <v>9.8992062571423869</v>
      </c>
      <c r="HV23">
        <f t="shared" ca="1" si="26"/>
        <v>9.889444109606865</v>
      </c>
      <c r="HW23">
        <f t="shared" ca="1" si="26"/>
        <v>9.8993036985036245</v>
      </c>
      <c r="HX23">
        <f t="shared" ca="1" si="26"/>
        <v>9.894444968727063</v>
      </c>
      <c r="HY23">
        <f t="shared" ca="1" si="26"/>
        <v>9.900544812460069</v>
      </c>
      <c r="HZ23">
        <f t="shared" ca="1" si="26"/>
        <v>9.8954414634027081</v>
      </c>
      <c r="IA23">
        <f t="shared" ca="1" si="26"/>
        <v>9.8972578743945423</v>
      </c>
      <c r="IB23">
        <f t="shared" ca="1" si="26"/>
        <v>9.8925918746784802</v>
      </c>
      <c r="IC23">
        <f t="shared" ca="1" si="26"/>
        <v>9.8977381834861706</v>
      </c>
      <c r="ID23">
        <f t="shared" ca="1" si="26"/>
        <v>9.9005247370161165</v>
      </c>
      <c r="IE23">
        <f t="shared" ca="1" si="26"/>
        <v>9.8975456124142198</v>
      </c>
      <c r="IF23">
        <f t="shared" ca="1" si="26"/>
        <v>9.8985400545535693</v>
      </c>
      <c r="IG23">
        <f t="shared" ca="1" si="26"/>
        <v>9.896681716182183</v>
      </c>
      <c r="IH23">
        <f t="shared" ca="1" si="26"/>
        <v>9.8992768197998515</v>
      </c>
      <c r="II23">
        <f t="shared" ca="1" si="26"/>
        <v>9.8943334511586567</v>
      </c>
      <c r="IJ23">
        <f t="shared" ca="1" si="26"/>
        <v>9.8991211115225539</v>
      </c>
      <c r="IK23">
        <f t="shared" ca="1" si="26"/>
        <v>9.8977328174083858</v>
      </c>
      <c r="IL23">
        <f t="shared" ca="1" si="26"/>
        <v>9.8978378283219186</v>
      </c>
      <c r="IM23">
        <f t="shared" ca="1" si="26"/>
        <v>9.8976437393340451</v>
      </c>
      <c r="IN23">
        <f t="shared" ca="1" si="26"/>
        <v>9.899872534052367</v>
      </c>
      <c r="IO23">
        <f t="shared" ca="1" si="26"/>
        <v>9.8938355019318003</v>
      </c>
      <c r="IP23">
        <f t="shared" ca="1" si="26"/>
        <v>9.8998620842733782</v>
      </c>
      <c r="IQ23">
        <f t="shared" ca="1" si="26"/>
        <v>9.8913669512718911</v>
      </c>
      <c r="IR23">
        <f t="shared" ca="1" si="26"/>
        <v>9.8957070416019306</v>
      </c>
      <c r="IS23">
        <f t="shared" ca="1" si="26"/>
        <v>9.9004500025527733</v>
      </c>
      <c r="IT23">
        <f t="shared" ca="1" si="26"/>
        <v>9.8979806384241016</v>
      </c>
      <c r="IU23">
        <f t="shared" ca="1" si="26"/>
        <v>9.8949010737258423</v>
      </c>
      <c r="IV23">
        <f t="shared" ca="1" si="26"/>
        <v>9.895831802913758</v>
      </c>
      <c r="IW23">
        <f t="shared" ca="1" si="26"/>
        <v>9.8998782038031123</v>
      </c>
      <c r="IX23">
        <f t="shared" ca="1" si="26"/>
        <v>9.900934251674677</v>
      </c>
      <c r="IY23">
        <f t="shared" ca="1" si="26"/>
        <v>9.8996046233951791</v>
      </c>
      <c r="IZ23">
        <f t="shared" ca="1" si="26"/>
        <v>9.8986169848501486</v>
      </c>
      <c r="JA23">
        <f t="shared" ca="1" si="26"/>
        <v>9.8982505088506851</v>
      </c>
      <c r="JB23">
        <f t="shared" ca="1" si="23"/>
        <v>9.8985719455730319</v>
      </c>
      <c r="JC23">
        <f t="shared" ca="1" si="23"/>
        <v>9.9000254076992213</v>
      </c>
      <c r="JD23">
        <f t="shared" ca="1" si="23"/>
        <v>9.8959924367564049</v>
      </c>
      <c r="JE23">
        <f t="shared" ca="1" si="23"/>
        <v>9.8962474865649313</v>
      </c>
      <c r="JF23">
        <f t="shared" ca="1" si="23"/>
        <v>9.8983510864628634</v>
      </c>
      <c r="JG23">
        <f t="shared" ca="1" si="23"/>
        <v>9.8981830249661229</v>
      </c>
      <c r="JH23">
        <f t="shared" ca="1" si="23"/>
        <v>9.8955462645449153</v>
      </c>
      <c r="JI23">
        <f t="shared" ca="1" si="23"/>
        <v>9.9002919026832163</v>
      </c>
      <c r="JJ23">
        <f t="shared" ca="1" si="23"/>
        <v>9.8965989628004021</v>
      </c>
      <c r="JK23">
        <f t="shared" ca="1" si="23"/>
        <v>9.8962436185614244</v>
      </c>
      <c r="JL23">
        <f t="shared" ca="1" si="23"/>
        <v>9.8985277243237864</v>
      </c>
      <c r="JM23">
        <f t="shared" ca="1" si="23"/>
        <v>9.9014045383460374</v>
      </c>
      <c r="JN23">
        <f t="shared" ca="1" si="23"/>
        <v>9.8960755705213472</v>
      </c>
      <c r="JO23">
        <f t="shared" ca="1" si="23"/>
        <v>9.8961260458263052</v>
      </c>
      <c r="JP23">
        <f t="shared" ca="1" si="23"/>
        <v>9.8974446043920956</v>
      </c>
      <c r="JQ23">
        <f t="shared" ca="1" si="23"/>
        <v>9.897275771959837</v>
      </c>
      <c r="JR23">
        <f t="shared" ca="1" si="23"/>
        <v>9.8959314574951662</v>
      </c>
      <c r="JS23">
        <f t="shared" ca="1" si="23"/>
        <v>9.8958162044495719</v>
      </c>
      <c r="JT23">
        <f t="shared" ca="1" si="23"/>
        <v>9.8996089701358798</v>
      </c>
      <c r="JU23">
        <f t="shared" ca="1" si="23"/>
        <v>9.9019912805543591</v>
      </c>
      <c r="JV23">
        <f t="shared" ca="1" si="23"/>
        <v>9.8975371587598602</v>
      </c>
      <c r="JW23">
        <f t="shared" ca="1" si="23"/>
        <v>9.8991602452333751</v>
      </c>
      <c r="JX23">
        <f t="shared" ca="1" si="23"/>
        <v>9.8984411932812648</v>
      </c>
      <c r="JY23">
        <f t="shared" ca="1" si="23"/>
        <v>9.8970847159629951</v>
      </c>
      <c r="JZ23">
        <f t="shared" ca="1" si="23"/>
        <v>9.8989311672477509</v>
      </c>
      <c r="KA23">
        <f t="shared" ca="1" si="23"/>
        <v>9.896933389031549</v>
      </c>
      <c r="KB23">
        <f t="shared" ca="1" si="23"/>
        <v>9.9005560689882675</v>
      </c>
      <c r="KC23">
        <f t="shared" ca="1" si="23"/>
        <v>9.8989391791286288</v>
      </c>
      <c r="KD23">
        <f t="shared" ca="1" si="23"/>
        <v>9.8950542556028402</v>
      </c>
      <c r="KE23">
        <f t="shared" ca="1" si="23"/>
        <v>9.8977693642895961</v>
      </c>
      <c r="KF23">
        <f t="shared" ca="1" si="23"/>
        <v>9.8948564796452949</v>
      </c>
      <c r="KG23">
        <f t="shared" ca="1" si="23"/>
        <v>9.8976414744343266</v>
      </c>
      <c r="KH23">
        <f t="shared" ca="1" si="23"/>
        <v>9.8954364740457024</v>
      </c>
      <c r="KI23">
        <f t="shared" ca="1" si="23"/>
        <v>9.8976207974919834</v>
      </c>
      <c r="KJ23">
        <f t="shared" ca="1" si="23"/>
        <v>9.8960093668493609</v>
      </c>
      <c r="KK23">
        <f t="shared" ca="1" si="23"/>
        <v>9.8952730183279627</v>
      </c>
      <c r="KL23">
        <f t="shared" ca="1" si="23"/>
        <v>9.8966911919291309</v>
      </c>
      <c r="KM23">
        <f t="shared" ca="1" si="23"/>
        <v>9.897798358908581</v>
      </c>
      <c r="KN23">
        <f t="shared" ca="1" si="23"/>
        <v>9.8922706267013236</v>
      </c>
      <c r="KO23">
        <f t="shared" ca="1" si="23"/>
        <v>9.9007318495439307</v>
      </c>
      <c r="KP23">
        <f t="shared" ca="1" si="23"/>
        <v>9.8924025956943051</v>
      </c>
      <c r="KQ23">
        <f t="shared" ca="1" si="23"/>
        <v>9.8961986274780624</v>
      </c>
      <c r="KR23">
        <f t="shared" ca="1" si="23"/>
        <v>9.8968130698599932</v>
      </c>
      <c r="KS23">
        <f t="shared" ca="1" si="23"/>
        <v>9.8954453927756578</v>
      </c>
      <c r="KT23">
        <f t="shared" ca="1" si="23"/>
        <v>9.8992444282706309</v>
      </c>
      <c r="KU23">
        <f t="shared" ca="1" si="23"/>
        <v>9.9008318738754983</v>
      </c>
      <c r="KV23">
        <f t="shared" ca="1" si="23"/>
        <v>9.8975409958887166</v>
      </c>
      <c r="KW23">
        <f t="shared" ca="1" si="23"/>
        <v>9.8979295078698595</v>
      </c>
      <c r="KX23">
        <f t="shared" ca="1" si="23"/>
        <v>9.8973327779264206</v>
      </c>
      <c r="KY23">
        <f t="shared" ca="1" si="23"/>
        <v>9.8973599571466835</v>
      </c>
      <c r="KZ23">
        <f t="shared" ca="1" si="23"/>
        <v>9.8961891545577974</v>
      </c>
      <c r="LA23">
        <f t="shared" ca="1" si="23"/>
        <v>9.8965690540255924</v>
      </c>
      <c r="LB23">
        <f t="shared" ca="1" si="23"/>
        <v>9.8970358067198134</v>
      </c>
      <c r="LC23">
        <f t="shared" ca="1" si="23"/>
        <v>9.8995066456203951</v>
      </c>
      <c r="LD23">
        <f t="shared" ca="1" si="23"/>
        <v>9.8988811671259498</v>
      </c>
      <c r="LE23">
        <f t="shared" ca="1" si="23"/>
        <v>9.900136973284555</v>
      </c>
      <c r="LF23">
        <f t="shared" ca="1" si="23"/>
        <v>9.896322875388524</v>
      </c>
      <c r="LG23">
        <f t="shared" ca="1" si="23"/>
        <v>9.8977345875812386</v>
      </c>
      <c r="LH23">
        <f t="shared" ca="1" si="23"/>
        <v>9.8949673489587155</v>
      </c>
      <c r="LI23">
        <f t="shared" ca="1" si="23"/>
        <v>9.8982443351878668</v>
      </c>
      <c r="LJ23">
        <f t="shared" ca="1" si="23"/>
        <v>9.8962718869821167</v>
      </c>
      <c r="LK23">
        <f t="shared" ca="1" si="23"/>
        <v>9.8964399918153578</v>
      </c>
      <c r="LL23">
        <f t="shared" ca="1" si="23"/>
        <v>9.8956798748750678</v>
      </c>
      <c r="LM23">
        <f t="shared" ca="1" si="18"/>
        <v>9.8964289532350147</v>
      </c>
      <c r="LN23">
        <f t="shared" ref="LN23:NY23" ca="1" si="27">$B10*EXP(($I10-$J11-($H10^2)/2)*(1/52)+$H10*SQRT(1/52)*_xlfn.NORM.INV(RAND(),0,1))</f>
        <v>9.9005270584551432</v>
      </c>
      <c r="LO23">
        <f t="shared" ca="1" si="27"/>
        <v>9.8975345282870926</v>
      </c>
      <c r="LP23">
        <f t="shared" ca="1" si="27"/>
        <v>9.8977874182563159</v>
      </c>
      <c r="LQ23">
        <f t="shared" ca="1" si="27"/>
        <v>9.8960437224748805</v>
      </c>
      <c r="LR23">
        <f t="shared" ca="1" si="27"/>
        <v>9.8990227339549257</v>
      </c>
      <c r="LS23">
        <f t="shared" ca="1" si="27"/>
        <v>9.8977244120973431</v>
      </c>
      <c r="LT23">
        <f t="shared" ca="1" si="27"/>
        <v>9.8945481582956276</v>
      </c>
      <c r="LU23">
        <f t="shared" ca="1" si="27"/>
        <v>9.8997759859305727</v>
      </c>
      <c r="LV23">
        <f t="shared" ca="1" si="27"/>
        <v>9.8964283569634883</v>
      </c>
      <c r="LW23">
        <f t="shared" ca="1" si="27"/>
        <v>9.8994681240026452</v>
      </c>
      <c r="LX23">
        <f t="shared" ca="1" si="27"/>
        <v>9.8979815620336353</v>
      </c>
      <c r="LY23">
        <f t="shared" ca="1" si="27"/>
        <v>9.8967597822527154</v>
      </c>
      <c r="LZ23">
        <f t="shared" ca="1" si="27"/>
        <v>9.8987651310164058</v>
      </c>
      <c r="MA23">
        <f t="shared" ca="1" si="27"/>
        <v>9.8996242274188884</v>
      </c>
      <c r="MB23">
        <f t="shared" ca="1" si="27"/>
        <v>9.89666591689768</v>
      </c>
      <c r="MC23">
        <f t="shared" ca="1" si="27"/>
        <v>9.8983167593260521</v>
      </c>
      <c r="MD23">
        <f t="shared" ca="1" si="27"/>
        <v>9.8966500313768702</v>
      </c>
      <c r="ME23">
        <f t="shared" ca="1" si="27"/>
        <v>9.9008932879156326</v>
      </c>
      <c r="MF23">
        <f t="shared" ca="1" si="27"/>
        <v>9.8973462117340514</v>
      </c>
      <c r="MG23">
        <f t="shared" ca="1" si="27"/>
        <v>9.8933378924676489</v>
      </c>
      <c r="MH23">
        <f t="shared" ca="1" si="27"/>
        <v>9.8931800171845374</v>
      </c>
      <c r="MI23">
        <f t="shared" ca="1" si="27"/>
        <v>9.8980551301415911</v>
      </c>
      <c r="MJ23">
        <f t="shared" ca="1" si="27"/>
        <v>9.8987457831261043</v>
      </c>
      <c r="MK23">
        <f t="shared" ca="1" si="27"/>
        <v>9.8968134563415102</v>
      </c>
      <c r="ML23">
        <f t="shared" ca="1" si="27"/>
        <v>9.8958618131250518</v>
      </c>
      <c r="MM23">
        <f t="shared" ca="1" si="27"/>
        <v>9.897579639587061</v>
      </c>
      <c r="MN23">
        <f t="shared" ca="1" si="27"/>
        <v>9.9014159312657064</v>
      </c>
      <c r="MO23">
        <f t="shared" ca="1" si="27"/>
        <v>9.8991464249514021</v>
      </c>
      <c r="MP23">
        <f t="shared" ca="1" si="27"/>
        <v>9.8988166322466764</v>
      </c>
      <c r="MQ23">
        <f t="shared" ca="1" si="27"/>
        <v>9.8986715789619932</v>
      </c>
      <c r="MR23">
        <f t="shared" ca="1" si="27"/>
        <v>9.8985538171543261</v>
      </c>
      <c r="MS23">
        <f t="shared" ca="1" si="27"/>
        <v>9.8996115816874308</v>
      </c>
      <c r="MT23">
        <f t="shared" ca="1" si="27"/>
        <v>9.9026538186155424</v>
      </c>
      <c r="MU23">
        <f t="shared" ca="1" si="27"/>
        <v>9.8975177790685915</v>
      </c>
      <c r="MV23">
        <f t="shared" ca="1" si="27"/>
        <v>9.8970608709970467</v>
      </c>
      <c r="MW23">
        <f t="shared" ca="1" si="27"/>
        <v>9.897278634359747</v>
      </c>
      <c r="MX23">
        <f t="shared" ca="1" si="27"/>
        <v>9.8919416795911239</v>
      </c>
      <c r="MY23">
        <f t="shared" ca="1" si="27"/>
        <v>9.8942929001922977</v>
      </c>
      <c r="MZ23">
        <f t="shared" ca="1" si="27"/>
        <v>9.9008488367348377</v>
      </c>
      <c r="NA23">
        <f t="shared" ca="1" si="27"/>
        <v>9.9024291837606579</v>
      </c>
      <c r="NB23">
        <f t="shared" ca="1" si="27"/>
        <v>9.9003582657484586</v>
      </c>
      <c r="NC23">
        <f t="shared" ca="1" si="27"/>
        <v>9.9010214836741159</v>
      </c>
      <c r="ND23">
        <f t="shared" ca="1" si="27"/>
        <v>9.897958493774258</v>
      </c>
      <c r="NE23">
        <f t="shared" ca="1" si="27"/>
        <v>9.9027505796074422</v>
      </c>
      <c r="NF23">
        <f t="shared" ca="1" si="27"/>
        <v>9.8994427959149878</v>
      </c>
      <c r="NG23">
        <f t="shared" ca="1" si="27"/>
        <v>9.9031584098545231</v>
      </c>
      <c r="NH23">
        <f t="shared" ca="1" si="27"/>
        <v>9.8966768132568657</v>
      </c>
      <c r="NI23">
        <f t="shared" ca="1" si="27"/>
        <v>9.8992529034388159</v>
      </c>
      <c r="NJ23">
        <f t="shared" ca="1" si="27"/>
        <v>9.8958481047310904</v>
      </c>
      <c r="NK23">
        <f t="shared" ca="1" si="27"/>
        <v>9.8973557844644517</v>
      </c>
      <c r="NL23">
        <f t="shared" ca="1" si="27"/>
        <v>9.8982053363404905</v>
      </c>
      <c r="NM23">
        <f t="shared" ca="1" si="27"/>
        <v>9.895981132704069</v>
      </c>
      <c r="NN23">
        <f t="shared" ca="1" si="27"/>
        <v>9.9009826014555777</v>
      </c>
      <c r="NO23">
        <f t="shared" ca="1" si="27"/>
        <v>9.8945530980246374</v>
      </c>
      <c r="NP23">
        <f t="shared" ca="1" si="27"/>
        <v>9.8967195676311555</v>
      </c>
      <c r="NQ23">
        <f t="shared" ca="1" si="27"/>
        <v>9.8973838722261647</v>
      </c>
      <c r="NR23">
        <f t="shared" ca="1" si="27"/>
        <v>9.898904517103805</v>
      </c>
      <c r="NS23">
        <f t="shared" ca="1" si="27"/>
        <v>9.8979218120492938</v>
      </c>
      <c r="NT23">
        <f t="shared" ca="1" si="27"/>
        <v>9.8967421963976161</v>
      </c>
      <c r="NU23">
        <f t="shared" ca="1" si="27"/>
        <v>9.8996436534819363</v>
      </c>
      <c r="NV23">
        <f t="shared" ca="1" si="27"/>
        <v>9.9033030344675783</v>
      </c>
      <c r="NW23">
        <f t="shared" ca="1" si="27"/>
        <v>9.8961546474104534</v>
      </c>
      <c r="NX23">
        <f t="shared" ca="1" si="27"/>
        <v>9.8969680638443993</v>
      </c>
      <c r="NY23">
        <f t="shared" ca="1" si="27"/>
        <v>9.8982346570513737</v>
      </c>
      <c r="NZ23">
        <f t="shared" ca="1" si="24"/>
        <v>9.890647194656653</v>
      </c>
      <c r="OA23">
        <f t="shared" ca="1" si="24"/>
        <v>9.8984248912616106</v>
      </c>
      <c r="OB23">
        <f t="shared" ca="1" si="24"/>
        <v>9.8997827022760205</v>
      </c>
      <c r="OC23">
        <f t="shared" ca="1" si="24"/>
        <v>9.8976099558265247</v>
      </c>
      <c r="OD23">
        <f t="shared" ca="1" si="24"/>
        <v>9.901087015226949</v>
      </c>
      <c r="OE23">
        <f t="shared" ca="1" si="24"/>
        <v>9.8983987263349427</v>
      </c>
      <c r="OF23">
        <f t="shared" ca="1" si="24"/>
        <v>9.9028618353616409</v>
      </c>
      <c r="OG23">
        <f t="shared" ca="1" si="24"/>
        <v>9.9019998764035115</v>
      </c>
      <c r="OH23">
        <f t="shared" ca="1" si="24"/>
        <v>9.9017427270401264</v>
      </c>
      <c r="OI23">
        <f t="shared" ca="1" si="24"/>
        <v>9.8952858579307232</v>
      </c>
      <c r="OJ23">
        <f t="shared" ca="1" si="24"/>
        <v>9.9004181192393741</v>
      </c>
      <c r="OK23">
        <f t="shared" ca="1" si="24"/>
        <v>9.8977546394381122</v>
      </c>
      <c r="OL23">
        <f t="shared" ca="1" si="24"/>
        <v>9.897966569587334</v>
      </c>
      <c r="OM23">
        <f t="shared" ca="1" si="24"/>
        <v>9.9009380719519999</v>
      </c>
      <c r="ON23">
        <f t="shared" ca="1" si="24"/>
        <v>9.9004065196765758</v>
      </c>
      <c r="OO23">
        <f t="shared" ca="1" si="24"/>
        <v>9.8964387255931339</v>
      </c>
      <c r="OP23">
        <f t="shared" ca="1" si="24"/>
        <v>9.9033952552525246</v>
      </c>
      <c r="OQ23">
        <f t="shared" ca="1" si="24"/>
        <v>9.8967013697620718</v>
      </c>
      <c r="OR23">
        <f t="shared" ca="1" si="24"/>
        <v>9.8973874153279233</v>
      </c>
      <c r="OS23">
        <f t="shared" ca="1" si="24"/>
        <v>9.9026633730798928</v>
      </c>
      <c r="OT23">
        <f t="shared" ca="1" si="24"/>
        <v>9.8930407914656353</v>
      </c>
      <c r="OU23">
        <f t="shared" ca="1" si="24"/>
        <v>9.8943384507795233</v>
      </c>
      <c r="OV23">
        <f t="shared" ca="1" si="24"/>
        <v>9.8951447363977305</v>
      </c>
      <c r="OW23">
        <f t="shared" ca="1" si="24"/>
        <v>9.8994855282026073</v>
      </c>
      <c r="OX23">
        <f t="shared" ca="1" si="24"/>
        <v>9.8990404367887059</v>
      </c>
      <c r="OY23">
        <f t="shared" ca="1" si="24"/>
        <v>9.8948917894388337</v>
      </c>
      <c r="OZ23">
        <f t="shared" ca="1" si="24"/>
        <v>9.8951444130637345</v>
      </c>
      <c r="PA23">
        <f t="shared" ca="1" si="24"/>
        <v>9.8977307438904774</v>
      </c>
      <c r="PB23">
        <f t="shared" ca="1" si="24"/>
        <v>9.9018532247706652</v>
      </c>
      <c r="PC23">
        <f t="shared" ca="1" si="24"/>
        <v>9.8974648337079554</v>
      </c>
      <c r="PD23">
        <f t="shared" ca="1" si="24"/>
        <v>9.8971426970292846</v>
      </c>
      <c r="PE23">
        <f t="shared" ca="1" si="24"/>
        <v>9.9020037576991999</v>
      </c>
      <c r="PF23">
        <f t="shared" ca="1" si="24"/>
        <v>9.8974697591475067</v>
      </c>
      <c r="PG23">
        <f t="shared" ca="1" si="24"/>
        <v>9.9031635883107363</v>
      </c>
      <c r="PH23">
        <f t="shared" ca="1" si="24"/>
        <v>9.8990699923511691</v>
      </c>
      <c r="PI23">
        <f t="shared" ca="1" si="24"/>
        <v>9.8949164694311023</v>
      </c>
      <c r="PJ23">
        <f t="shared" ca="1" si="24"/>
        <v>9.8985031909840853</v>
      </c>
      <c r="PK23">
        <f t="shared" ca="1" si="24"/>
        <v>9.8982135604894879</v>
      </c>
      <c r="PL23">
        <f t="shared" ca="1" si="24"/>
        <v>9.9001513074734451</v>
      </c>
      <c r="PM23">
        <f t="shared" ca="1" si="24"/>
        <v>9.9039606356807681</v>
      </c>
      <c r="PN23">
        <f t="shared" ca="1" si="24"/>
        <v>9.8943926431860643</v>
      </c>
      <c r="PO23">
        <f t="shared" ca="1" si="24"/>
        <v>9.8970627276788417</v>
      </c>
      <c r="PP23">
        <f t="shared" ca="1" si="24"/>
        <v>9.8968550553691621</v>
      </c>
      <c r="PQ23">
        <f t="shared" ca="1" si="24"/>
        <v>9.8971503942422547</v>
      </c>
      <c r="PR23">
        <f t="shared" ca="1" si="24"/>
        <v>9.8978246508048588</v>
      </c>
      <c r="PS23">
        <f t="shared" ca="1" si="24"/>
        <v>9.8961838763730565</v>
      </c>
      <c r="PT23">
        <f t="shared" ca="1" si="24"/>
        <v>9.8992781935778407</v>
      </c>
      <c r="PU23">
        <f t="shared" ca="1" si="24"/>
        <v>9.8978131287185143</v>
      </c>
      <c r="PV23">
        <f t="shared" ca="1" si="24"/>
        <v>9.9016745867962825</v>
      </c>
      <c r="PW23">
        <f t="shared" ca="1" si="24"/>
        <v>9.8934713267442334</v>
      </c>
      <c r="PX23">
        <f t="shared" ca="1" si="24"/>
        <v>9.9015217458614337</v>
      </c>
      <c r="PY23">
        <f t="shared" ca="1" si="24"/>
        <v>9.897944069027778</v>
      </c>
      <c r="PZ23">
        <f t="shared" ca="1" si="24"/>
        <v>9.8984792145738947</v>
      </c>
      <c r="QA23">
        <f t="shared" ca="1" si="24"/>
        <v>9.8982375358706385</v>
      </c>
      <c r="QB23">
        <f t="shared" ca="1" si="24"/>
        <v>9.896561621867237</v>
      </c>
      <c r="QC23">
        <f t="shared" ca="1" si="24"/>
        <v>9.8947470175546322</v>
      </c>
      <c r="QD23">
        <f t="shared" ca="1" si="24"/>
        <v>9.9026530613605921</v>
      </c>
      <c r="QE23">
        <f t="shared" ca="1" si="24"/>
        <v>9.8954579628572805</v>
      </c>
      <c r="QF23">
        <f t="shared" ca="1" si="24"/>
        <v>9.896510508807145</v>
      </c>
      <c r="QG23">
        <f t="shared" ca="1" si="24"/>
        <v>9.897499869305145</v>
      </c>
      <c r="QH23">
        <f t="shared" ca="1" si="24"/>
        <v>9.8937659891571919</v>
      </c>
      <c r="QI23">
        <f t="shared" ca="1" si="24"/>
        <v>9.8960923590789225</v>
      </c>
      <c r="QJ23">
        <f t="shared" ca="1" si="24"/>
        <v>9.898485367032535</v>
      </c>
      <c r="QK23">
        <f t="shared" ca="1" si="20"/>
        <v>9.8922905375703429</v>
      </c>
      <c r="QL23">
        <f t="shared" ca="1" si="20"/>
        <v>9.901362507710088</v>
      </c>
      <c r="QM23">
        <f t="shared" ca="1" si="20"/>
        <v>9.8963902174445035</v>
      </c>
      <c r="QN23">
        <f t="shared" ca="1" si="20"/>
        <v>9.8974566734768548</v>
      </c>
      <c r="QO23">
        <f t="shared" ca="1" si="20"/>
        <v>9.8968946306993786</v>
      </c>
      <c r="QP23">
        <f t="shared" ca="1" si="20"/>
        <v>9.8974673448051469</v>
      </c>
      <c r="QQ23">
        <f t="shared" ca="1" si="20"/>
        <v>9.8924844778756373</v>
      </c>
      <c r="QR23">
        <f t="shared" ca="1" si="20"/>
        <v>9.8970344798267131</v>
      </c>
      <c r="QS23">
        <f t="shared" ca="1" si="20"/>
        <v>9.9000397135950671</v>
      </c>
      <c r="QT23">
        <f t="shared" ca="1" si="20"/>
        <v>9.8976962125726562</v>
      </c>
      <c r="QU23">
        <f t="shared" ca="1" si="20"/>
        <v>9.9030275937930803</v>
      </c>
      <c r="QV23">
        <f t="shared" ca="1" si="20"/>
        <v>9.8980958427070043</v>
      </c>
      <c r="QW23">
        <f t="shared" ca="1" si="20"/>
        <v>9.9010401240721908</v>
      </c>
      <c r="QX23">
        <f t="shared" ca="1" si="20"/>
        <v>9.9016114766409942</v>
      </c>
      <c r="QY23">
        <f t="shared" ca="1" si="20"/>
        <v>9.8989786163970592</v>
      </c>
      <c r="QZ23">
        <f t="shared" ca="1" si="20"/>
        <v>9.8982682395368595</v>
      </c>
      <c r="RA23">
        <f t="shared" ca="1" si="20"/>
        <v>9.9029670989170615</v>
      </c>
      <c r="RB23">
        <f t="shared" ca="1" si="20"/>
        <v>9.8973715390668051</v>
      </c>
      <c r="RC23">
        <f t="shared" ca="1" si="20"/>
        <v>9.8951925659633062</v>
      </c>
      <c r="RD23">
        <f t="shared" ca="1" si="20"/>
        <v>9.9035863934200243</v>
      </c>
      <c r="RE23">
        <f t="shared" ca="1" si="20"/>
        <v>9.8946977439951755</v>
      </c>
      <c r="RF23">
        <f t="shared" ca="1" si="20"/>
        <v>9.8961019556827861</v>
      </c>
      <c r="RG23">
        <f t="shared" ca="1" si="20"/>
        <v>9.9043266379144725</v>
      </c>
      <c r="RH23">
        <f t="shared" ca="1" si="20"/>
        <v>9.8957387891158177</v>
      </c>
      <c r="RI23">
        <f t="shared" ca="1" si="20"/>
        <v>9.8953157020836997</v>
      </c>
      <c r="RJ23">
        <f t="shared" ca="1" si="20"/>
        <v>9.8956791066085259</v>
      </c>
      <c r="RK23">
        <f t="shared" ca="1" si="20"/>
        <v>9.8987940306661439</v>
      </c>
      <c r="RL23">
        <f t="shared" ca="1" si="20"/>
        <v>9.8984317117248128</v>
      </c>
      <c r="RM23">
        <f t="shared" ca="1" si="20"/>
        <v>9.9010527215093802</v>
      </c>
      <c r="RN23">
        <f t="shared" ca="1" si="20"/>
        <v>9.8983281814958861</v>
      </c>
      <c r="RO23">
        <f t="shared" ca="1" si="20"/>
        <v>9.892452254875824</v>
      </c>
      <c r="RP23">
        <f t="shared" ca="1" si="20"/>
        <v>9.9008665102848887</v>
      </c>
      <c r="RQ23">
        <f t="shared" ca="1" si="20"/>
        <v>9.897854038978636</v>
      </c>
      <c r="RR23">
        <f t="shared" ca="1" si="20"/>
        <v>9.8967821229091015</v>
      </c>
      <c r="RS23">
        <f t="shared" ca="1" si="20"/>
        <v>9.8961304763260287</v>
      </c>
      <c r="RT23">
        <f t="shared" ca="1" si="20"/>
        <v>9.8975764393749461</v>
      </c>
      <c r="RU23">
        <f t="shared" ca="1" si="20"/>
        <v>9.8973815509341705</v>
      </c>
      <c r="RV23">
        <f t="shared" ca="1" si="20"/>
        <v>9.8921941051511482</v>
      </c>
      <c r="RW23">
        <f t="shared" ca="1" si="20"/>
        <v>9.900195060906027</v>
      </c>
      <c r="RX23">
        <f t="shared" ca="1" si="20"/>
        <v>9.9013232898567036</v>
      </c>
      <c r="RY23">
        <f t="shared" ca="1" si="20"/>
        <v>9.9001826048013655</v>
      </c>
      <c r="RZ23">
        <f t="shared" ca="1" si="20"/>
        <v>9.8966555486149126</v>
      </c>
      <c r="SA23">
        <f t="shared" ca="1" si="20"/>
        <v>9.9000967791361703</v>
      </c>
      <c r="SB23">
        <f t="shared" ca="1" si="20"/>
        <v>9.9020949833605769</v>
      </c>
      <c r="SC23">
        <f t="shared" ca="1" si="20"/>
        <v>9.9009333764956295</v>
      </c>
      <c r="SD23">
        <f t="shared" ca="1" si="20"/>
        <v>9.895448807372409</v>
      </c>
      <c r="SE23">
        <f t="shared" ca="1" si="20"/>
        <v>9.9000169628175136</v>
      </c>
      <c r="SF23">
        <f t="shared" ca="1" si="20"/>
        <v>9.90189641591693</v>
      </c>
      <c r="SG23">
        <f t="shared" ca="1" si="20"/>
        <v>9.8993927697258339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8CD445-EE2B-4B4E-B477-90A472BE61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Malayan Banking Stock Price His</vt:lpstr>
      <vt:lpstr>In-Sample</vt:lpstr>
      <vt:lpstr>Out Sample Forecast Summary</vt:lpstr>
      <vt:lpstr>Out Sample Forecast</vt:lpstr>
      <vt:lpstr>Out Sample Forecast (Dividend)</vt:lpstr>
      <vt:lpstr>Price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Alif Firdaus</cp:lastModifiedBy>
  <dcterms:created xsi:type="dcterms:W3CDTF">2025-11-24T06:02:40Z</dcterms:created>
  <dcterms:modified xsi:type="dcterms:W3CDTF">2025-12-19T12:08:02Z</dcterms:modified>
</cp:coreProperties>
</file>